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083ea352fe43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th macros" sheetId="1" r:id="Ra2128da9d4d44204"/>
    <x:sheet xmlns:r="http://schemas.openxmlformats.org/officeDocument/2006/relationships" name="Missing macros" sheetId="2" r:id="Rd408a720237242af"/>
    <x:sheet xmlns:r="http://schemas.openxmlformats.org/officeDocument/2006/relationships" name="Other Supy recipes" sheetId="3" r:id="R95f092feb81243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"/>
    <x:numFmt numFmtId="202" formatCode="dd mmm yyyy"/>
    <x:numFmt numFmtId="203" formatCode="0.##"/>
  </x:numFmts>
  <x:fonts count="7">
    <x:font>
      <x:sz val="11"/>
      <x:name val="Carlito"/>
    </x:font>
    <x:font>
      <x:sz val="10"/>
      <x:color rgb="FF17212B"/>
      <x:name val="Arial"/>
    </x:font>
    <x:font>
      <x:b/>
      <x:sz val="16"/>
      <x:color rgb="FF173526"/>
      <x:name val="Arial"/>
    </x:font>
    <x:font>
      <x:i/>
      <x:sz val="10"/>
      <x:color rgb="FF52616B"/>
      <x:name val="Arial"/>
    </x:font>
    <x:font>
      <x:b/>
      <x:sz val="10"/>
      <x:color rgb="FF173526"/>
      <x:name val="Arial"/>
    </x:font>
    <x:font>
      <x:sz val="10"/>
      <x:color rgb="FF52616B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526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7D2CC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2"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032e8d3a48480f" /><Relationship Type="http://schemas.openxmlformats.org/officeDocument/2006/relationships/theme" Target="/xl/theme/theme1.xml" Id="R202e50510a054ef5" /><Relationship Type="http://schemas.openxmlformats.org/officeDocument/2006/relationships/sharedStrings" Target="/xl/sharedStrings.xml" Id="Recd48c0db91d42b7" /><Relationship Type="http://schemas.openxmlformats.org/officeDocument/2006/relationships/worksheet" Target="/xl/worksheets/sheet1.xml" Id="Ra2128da9d4d44204" /><Relationship Type="http://schemas.openxmlformats.org/officeDocument/2006/relationships/worksheet" Target="/xl/worksheets/sheet2.xml" Id="Rd408a720237242af" /><Relationship Type="http://schemas.openxmlformats.org/officeDocument/2006/relationships/worksheet" Target="/xl/worksheets/sheet3.xml" Id="R95f092feb81243d5" /></Relationships>
</file>

<file path=xl/tables/table1.xml><?xml version="1.0" encoding="utf-8"?>
<x:table xmlns:x="http://schemas.openxmlformats.org/spreadsheetml/2006/main" id="1" name="SnacksWithMacros" displayName="SnacksWithMacros" ref="A9:O23" headerRowCount="1" totalsRowCount="0" totalsRowShown="0">
  <x:autoFilter ref="A9:O23"/>
  <x:tableColumns count="15">
    <x:tableColumn id="1" name="Supy snack"/>
    <x:tableColumn id="2" name="Macro status"/>
    <x:tableColumn id="3" name="Carbs (g)"/>
    <x:tableColumn id="4" name="Protein (g)"/>
    <x:tableColumn id="5" name="Fat (g)"/>
    <x:tableColumn id="6" name="Internal snack name"/>
    <x:tableColumn id="7" name="Macro source"/>
    <x:tableColumn id="8" name="Record date"/>
    <x:tableColumn id="9" name="Supy code"/>
    <x:tableColumn id="10" name="Supy category"/>
    <x:tableColumn id="11" name="Action / reason"/>
    <x:tableColumn id="12" name="Internal source reference"/>
    <x:tableColumn id="13" name="Supy recipe ID"/>
    <x:tableColumn id="14" name="Supy portion quantity"/>
    <x:tableColumn id="15" name="Supy un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nacksMissingMacros" displayName="SnacksMissingMacros" ref="A9:O61" headerRowCount="1" totalsRowCount="0" totalsRowShown="0">
  <x:autoFilter ref="A9:O61"/>
  <x:tableColumns count="15">
    <x:tableColumn id="1" name="Supy snack"/>
    <x:tableColumn id="2" name="Macro status"/>
    <x:tableColumn id="3" name="Carbs (g)"/>
    <x:tableColumn id="4" name="Protein (g)"/>
    <x:tableColumn id="5" name="Fat (g)"/>
    <x:tableColumn id="6" name="Internal snack name"/>
    <x:tableColumn id="7" name="Macro source"/>
    <x:tableColumn id="8" name="Record date"/>
    <x:tableColumn id="9" name="Supy code"/>
    <x:tableColumn id="10" name="Supy category"/>
    <x:tableColumn id="11" name="Action / reason"/>
    <x:tableColumn id="12" name="Internal source reference"/>
    <x:tableColumn id="13" name="Supy recipe ID"/>
    <x:tableColumn id="14" name="Supy portion quantity"/>
    <x:tableColumn id="15" name="Supy un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therSupySnackMatches" displayName="OtherSupySnackMatches" ref="A9:O39" headerRowCount="1" totalsRowCount="0" totalsRowShown="0">
  <x:autoFilter ref="A9:O39"/>
  <x:tableColumns count="15">
    <x:tableColumn id="1" name="Supy snack"/>
    <x:tableColumn id="2" name="Macro status"/>
    <x:tableColumn id="3" name="Carbs (g)"/>
    <x:tableColumn id="4" name="Protein (g)"/>
    <x:tableColumn id="5" name="Fat (g)"/>
    <x:tableColumn id="6" name="Internal snack name"/>
    <x:tableColumn id="7" name="Macro source"/>
    <x:tableColumn id="8" name="Record date"/>
    <x:tableColumn id="9" name="Supy code"/>
    <x:tableColumn id="10" name="Supy category"/>
    <x:tableColumn id="11" name="Action / reason"/>
    <x:tableColumn id="12" name="Internal source reference"/>
    <x:tableColumn id="13" name="Supy recipe ID"/>
    <x:tableColumn id="14" name="Supy portion quantity"/>
    <x:tableColumn id="15" name="Supy 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cfc3c028a740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4bad78df0994a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fa5d7369e414067" /></Relationships>
</file>

<file path=xl/worksheets/sheet1.xml><?xml version="1.0" encoding="utf-8"?>
<x:worksheet xmlns:x="http://schemas.openxmlformats.org/spreadsheetml/2006/main">
  <x:sheetPr>
    <x:tabColor rgb="FF173526"/>
  </x:sheetPr>
  <x:sheetViews>
    <x:sheetView showGridLines="0" workbookViewId="0">
      <x:pane xSplit="1" ySplit="9" topLeftCell="B10" activePane="bottomRight" state="frozen"/>
    </x:sheetView>
  </x:sheetViews>
  <x:sheetFormatPr defaultRowHeight="15"/>
  <x:cols>
    <x:col min="1" max="1" width="38" hidden="0" customWidth="1"/>
    <x:col min="2" max="2" width="26" hidden="0" customWidth="1"/>
    <x:col min="3" max="3" width="12" hidden="0" customWidth="1"/>
    <x:col min="4" max="4" width="12" hidden="0" customWidth="1"/>
    <x:col min="5" max="5" width="11" hidden="0" customWidth="1"/>
    <x:col min="6" max="6" width="38" hidden="0" customWidth="1"/>
    <x:col min="7" max="7" width="25" hidden="0" customWidth="1"/>
    <x:col min="8" max="8" width="16" hidden="0" customWidth="1"/>
    <x:col min="9" max="9" width="14" hidden="0" customWidth="1"/>
    <x:col min="10" max="10" width="22" hidden="0" customWidth="1"/>
    <x:col min="11" max="11" width="68" hidden="0" customWidth="1"/>
    <x:col min="12" max="12" width="65" hidden="0" customWidth="1"/>
    <x:col min="13" max="13" width="28" hidden="0" customWidth="1"/>
    <x:col min="14" max="14" width="18" hidden="0" customWidth="1"/>
    <x:col min="15" max="15" width="1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0" customHeight="1">
      <x:c r="A2" s="4" t="str">
        <x:v>Supy snacks with stored macros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4" customHeight="1">
      <x:c r="A3" s="7" t="str">
        <x:v>Source: available Supy recipes + internal MongoDB snack presets and weekly rotations. Extracted 26/10/2026, 14:45:08 Dubai.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</x:row>
    <x:row r="4" ht="24" customHeight="1">
      <x:c r="A4" s="7" t="str">
        <x:v>Complete macros = numeric C/P/F, with a positive total. All-zero entries need review. Name-variant candidates are not confirmed matches.</x:v>
      </x:c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</x:row>
    <x:row r="5" ht="24" customHeight="1">
      <x:c r="A5" s="7" t="str">
        <x:v>Weekly-rotation values may be divided by snack count; global presets are fixed per snack. No Supy serving conversion was applied.</x:v>
      </x:c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</x:row>
    <x:row r="6" ht="24" customHeight="1">
      <x:c r="A6" s="8" t="str">
        <x:v>Stored macros</x:v>
      </x:c>
      <x:c r="B6" s="9" t="n">
        <x:f>COUNTA(A10:A23)</x:f>
        <x:v>14</x:v>
      </x:c>
      <x:c r="C6" s="8"/>
      <x:c r="D6" s="8" t="str">
        <x:v>Global presets</x:v>
      </x:c>
      <x:c r="E6" s="9" t="n">
        <x:f>COUNTIFS(B10:B23,"Global preset")</x:f>
        <x:v>4</x:v>
      </x:c>
      <x:c r="F6" s="8"/>
      <x:c r="G6" s="8" t="str">
        <x:v>Historical only</x:v>
      </x:c>
      <x:c r="H6" s="9" t="n">
        <x:f>COUNTIFS(B10:B23,"Historical rotation only")</x:f>
        <x:v>10</x:v>
      </x:c>
      <x:c r="I6" s="8"/>
      <x:c r="J6" s="8" t="str">
        <x:v>Name review</x:v>
      </x:c>
      <x:c r="K6" s="9" t="n">
        <x:f>COUNTIFS(B10:B23,"Name mismatch - review")</x:f>
        <x:v>0</x:v>
      </x:c>
      <x:c r="L6" s="8"/>
      <x:c r="M6" s="8"/>
      <x:c r="N6" s="8"/>
      <x:c r="O6" s="8"/>
    </x:row>
    <x:row r="7" ht="24" customHeight="1">
      <x:c r="A7" s="10" t="str">
        <x:v>Scope: 66 available recipes in Supy category Snacks. Four global matches, ten historical matches, and 52 missing / review records.</x:v>
      </x:c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</x:row>
    <x:row r="8" ht="24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</x:row>
    <x:row r="9" ht="38" customHeight="1">
      <x:c r="A9" s="14" t="str">
        <x:v>Supy snack</x:v>
      </x:c>
      <x:c r="B9" s="14" t="str">
        <x:v>Macro status</x:v>
      </x:c>
      <x:c r="C9" s="14" t="str">
        <x:v>Carbs (g)</x:v>
      </x:c>
      <x:c r="D9" s="14" t="str">
        <x:v>Protein (g)</x:v>
      </x:c>
      <x:c r="E9" s="14" t="str">
        <x:v>Fat (g)</x:v>
      </x:c>
      <x:c r="F9" s="14" t="str">
        <x:v>Internal snack name</x:v>
      </x:c>
      <x:c r="G9" s="14" t="str">
        <x:v>Macro source</x:v>
      </x:c>
      <x:c r="H9" s="14" t="str">
        <x:v>Record date</x:v>
      </x:c>
      <x:c r="I9" s="14" t="str">
        <x:v>Supy code</x:v>
      </x:c>
      <x:c r="J9" s="14" t="str">
        <x:v>Supy category</x:v>
      </x:c>
      <x:c r="K9" s="14" t="str">
        <x:v>Action / reason</x:v>
      </x:c>
      <x:c r="L9" s="14" t="str">
        <x:v>Internal source reference</x:v>
      </x:c>
      <x:c r="M9" s="14" t="str">
        <x:v>Supy recipe ID</x:v>
      </x:c>
      <x:c r="N9" s="14" t="str">
        <x:v>Supy portion quantity</x:v>
      </x:c>
      <x:c r="O9" s="14" t="str">
        <x:v>Supy unit</x:v>
      </x:c>
    </x:row>
    <x:row r="10" ht="44" customHeight="1">
      <x:c r="A10" s="15" t="str">
        <x:v>Blueberry Cookies</x:v>
      </x:c>
      <x:c r="B10" s="15" t="str">
        <x:v>Historical rotation only</x:v>
      </x:c>
      <x:c r="C10" s="17" t="n">
        <x:v>16</x:v>
      </x:c>
      <x:c r="D10" s="17" t="n">
        <x:v>12</x:v>
      </x:c>
      <x:c r="E10" s="17" t="n">
        <x:v>8</x:v>
      </x:c>
      <x:c r="F10" s="15" t="str">
        <x:v>BLUEBERRY COOKIES</x:v>
      </x:c>
      <x:c r="G10" s="15" t="str">
        <x:v>Weekly rotation</x:v>
      </x:c>
      <x:c r="H10" s="18" t="d">
        <x:v>2026-09-22T00:00:00.000Z</x:v>
      </x:c>
      <x:c r="I10" s="2" t="str">
        <x:v>63fb56</x:v>
      </x:c>
      <x:c r="J10" s="2" t="str">
        <x:v>Snacks</x:v>
      </x:c>
      <x:c r="K10" s="15" t="str">
        <x:v>Non-zero values exist in an older weekly rotation. Latest menus may be zero; create a global preset after checking the basis.</x:v>
      </x:c>
      <x:c r="L10" s="15" t="str">
        <x:v>Weekly Menus from Mon 21 to Sunday 27 / 2026-09-22 / second</x:v>
      </x:c>
      <x:c r="M10" s="2" t="str">
        <x:v>6648a30757eeb372ece71bf8</x:v>
      </x:c>
      <x:c r="N10" s="19" t="n">
        <x:v>60</x:v>
      </x:c>
      <x:c r="O10" s="2" t="str">
        <x:v>Piece</x:v>
      </x:c>
    </x:row>
    <x:row r="11" ht="44" customHeight="1">
      <x:c r="A11" s="15" t="str">
        <x:v>Carrot Cake Bar</x:v>
      </x:c>
      <x:c r="B11" s="15" t="str">
        <x:v>Historical rotation only</x:v>
      </x:c>
      <x:c r="C11" s="17" t="n">
        <x:v>16</x:v>
      </x:c>
      <x:c r="D11" s="17" t="n">
        <x:v>10</x:v>
      </x:c>
      <x:c r="E11" s="17" t="n">
        <x:v>7</x:v>
      </x:c>
      <x:c r="F11" s="15" t="str">
        <x:v>CARROT CAKE BAR</x:v>
      </x:c>
      <x:c r="G11" s="15" t="str">
        <x:v>Weekly rotation</x:v>
      </x:c>
      <x:c r="H11" s="18" t="d">
        <x:v>2026-09-25T00:00:00.000Z</x:v>
      </x:c>
      <x:c r="I11" s="2" t="str">
        <x:v>a45708</x:v>
      </x:c>
      <x:c r="J11" s="2" t="str">
        <x:v>Snacks</x:v>
      </x:c>
      <x:c r="K11" s="15" t="str">
        <x:v>Non-zero values exist in an older weekly rotation. Latest menus may be zero; create a global preset after checking the basis.</x:v>
      </x:c>
      <x:c r="L11" s="15" t="str">
        <x:v>Weekly Menus from Mon 21 to Sunday 27 / 2026-09-25 / second</x:v>
      </x:c>
      <x:c r="M11" s="2" t="str">
        <x:v>6641cbf16b54a24ad71946da</x:v>
      </x:c>
      <x:c r="N11" s="19" t="n">
        <x:v>46</x:v>
      </x:c>
      <x:c r="O11" s="2" t="str">
        <x:v>Piece</x:v>
      </x:c>
    </x:row>
    <x:row r="12" ht="44" customHeight="1">
      <x:c r="A12" s="15" t="str">
        <x:v>Carrot Cake Muffins</x:v>
      </x:c>
      <x:c r="B12" s="15" t="str">
        <x:v>Historical rotation only</x:v>
      </x:c>
      <x:c r="C12" s="17" t="n">
        <x:v>10</x:v>
      </x:c>
      <x:c r="D12" s="17" t="n">
        <x:v>12</x:v>
      </x:c>
      <x:c r="E12" s="17" t="n">
        <x:v>7</x:v>
      </x:c>
      <x:c r="F12" s="15" t="str">
        <x:v>CARROT CAKE MUFFINS</x:v>
      </x:c>
      <x:c r="G12" s="15" t="str">
        <x:v>Weekly rotation</x:v>
      </x:c>
      <x:c r="H12" s="18" t="d">
        <x:v>2026-09-30T00:00:00.000Z</x:v>
      </x:c>
      <x:c r="I12" s="2" t="str">
        <x:v>7cb526</x:v>
      </x:c>
      <x:c r="J12" s="2" t="str">
        <x:v>Snacks</x:v>
      </x:c>
      <x:c r="K12" s="15" t="str">
        <x:v>Non-zero values exist in an older weekly rotation. Latest menus may be zero; create a global preset after checking the basis.</x:v>
      </x:c>
      <x:c r="L12" s="15" t="str">
        <x:v>Weekly menus from mon 28 to sunday 4 / 2026-09-30 / second</x:v>
      </x:c>
      <x:c r="M12" s="2" t="str">
        <x:v>667138b0a70dd5e657b6dd5b</x:v>
      </x:c>
      <x:c r="N12" s="19" t="n">
        <x:v>46</x:v>
      </x:c>
      <x:c r="O12" s="2" t="str">
        <x:v>Piece</x:v>
      </x:c>
    </x:row>
    <x:row r="13" ht="44" customHeight="1">
      <x:c r="A13" s="15" t="str">
        <x:v>Choco Peanut Butter Truffle</x:v>
      </x:c>
      <x:c r="B13" s="15" t="str">
        <x:v>Global preset</x:v>
      </x:c>
      <x:c r="C13" s="17" t="n">
        <x:v>15</x:v>
      </x:c>
      <x:c r="D13" s="17" t="n">
        <x:v>10</x:v>
      </x:c>
      <x:c r="E13" s="17" t="n">
        <x:v>6</x:v>
      </x:c>
      <x:c r="F13" s="15" t="str">
        <x:v>CHOCO PEANUT BUTTER TRUFFLE</x:v>
      </x:c>
      <x:c r="G13" s="15" t="str">
        <x:v>Global preset</x:v>
      </x:c>
      <x:c r="H13" s="18" t="d">
        <x:v>2026-10-26T00:00:00.000Z</x:v>
      </x:c>
      <x:c r="I13" s="2" t="str">
        <x:v>6772e4</x:v>
      </x:c>
      <x:c r="J13" s="2" t="str">
        <x:v>Snacks</x:v>
      </x:c>
      <x:c r="K13" s="15" t="str">
        <x:v>Saved as a global fixed snack preset. Verify Supy serving basis before reuse.</x:v>
      </x:c>
      <x:c r="L13" s="15" t="str">
        <x:v>KitchenSnackPreset global</x:v>
      </x:c>
      <x:c r="M13" s="2" t="str">
        <x:v>663cb735dfa45d33ea9eb6cb</x:v>
      </x:c>
      <x:c r="N13" s="19" t="n">
        <x:v>70</x:v>
      </x:c>
      <x:c r="O13" s="2" t="str">
        <x:v>Piece</x:v>
      </x:c>
    </x:row>
    <x:row r="14" ht="44" customHeight="1">
      <x:c r="A14" s="15" t="str">
        <x:v>Cinnamon Cookies</x:v>
      </x:c>
      <x:c r="B14" s="15" t="str">
        <x:v>Historical rotation only</x:v>
      </x:c>
      <x:c r="C14" s="17" t="n">
        <x:v>16</x:v>
      </x:c>
      <x:c r="D14" s="17" t="n">
        <x:v>12</x:v>
      </x:c>
      <x:c r="E14" s="17" t="n">
        <x:v>6</x:v>
      </x:c>
      <x:c r="F14" s="15" t="str">
        <x:v>CINNAMON COOKIES</x:v>
      </x:c>
      <x:c r="G14" s="15" t="str">
        <x:v>Weekly rotation</x:v>
      </x:c>
      <x:c r="H14" s="18" t="d">
        <x:v>2026-10-06T00:00:00.000Z</x:v>
      </x:c>
      <x:c r="I14" s="2" t="str">
        <x:v>7bd00e</x:v>
      </x:c>
      <x:c r="J14" s="2" t="str">
        <x:v>Snacks</x:v>
      </x:c>
      <x:c r="K14" s="15" t="str">
        <x:v>Non-zero values exist in an older weekly rotation. Latest menus may be zero; create a global preset after checking the basis.</x:v>
      </x:c>
      <x:c r="L14" s="15" t="str">
        <x:v>Weekly menus from mon 5 to sunday 11 / 2026-10-06 / second</x:v>
      </x:c>
      <x:c r="M14" s="2" t="str">
        <x:v>66409049a6e4924ec0848c9c</x:v>
      </x:c>
      <x:c r="N14" s="19" t="n">
        <x:v>60</x:v>
      </x:c>
      <x:c r="O14" s="2" t="str">
        <x:v>Piece</x:v>
      </x:c>
    </x:row>
    <x:row r="15" ht="44" customHeight="1">
      <x:c r="A15" s="15" t="str">
        <x:v>Coconut Muffins</x:v>
      </x:c>
      <x:c r="B15" s="15" t="str">
        <x:v>Global preset</x:v>
      </x:c>
      <x:c r="C15" s="17" t="n">
        <x:v>14</x:v>
      </x:c>
      <x:c r="D15" s="17" t="n">
        <x:v>10</x:v>
      </x:c>
      <x:c r="E15" s="17" t="n">
        <x:v>7</x:v>
      </x:c>
      <x:c r="F15" s="15" t="str">
        <x:v>COCONUT MUFFINS</x:v>
      </x:c>
      <x:c r="G15" s="15" t="str">
        <x:v>Global preset</x:v>
      </x:c>
      <x:c r="H15" s="18" t="d">
        <x:v>2026-10-26T00:00:00.000Z</x:v>
      </x:c>
      <x:c r="I15" s="2" t="str">
        <x:v>dfa85f</x:v>
      </x:c>
      <x:c r="J15" s="2" t="str">
        <x:v>Snacks</x:v>
      </x:c>
      <x:c r="K15" s="15" t="str">
        <x:v>Saved as a global fixed snack preset. Verify Supy serving basis before reuse.</x:v>
      </x:c>
      <x:c r="L15" s="15" t="str">
        <x:v>KitchenSnackPreset global</x:v>
      </x:c>
      <x:c r="M15" s="2" t="str">
        <x:v>66422c839ff53c7315abd001</x:v>
      </x:c>
      <x:c r="N15" s="19" t="n">
        <x:v>48</x:v>
      </x:c>
      <x:c r="O15" s="2" t="str">
        <x:v>Piece</x:v>
      </x:c>
    </x:row>
    <x:row r="16" ht="44" customHeight="1">
      <x:c r="A16" s="15" t="str">
        <x:v>Cookies &amp; Cream Cheese Cake</x:v>
      </x:c>
      <x:c r="B16" s="15" t="str">
        <x:v>Global preset</x:v>
      </x:c>
      <x:c r="C16" s="17" t="n">
        <x:v>18</x:v>
      </x:c>
      <x:c r="D16" s="17" t="n">
        <x:v>10</x:v>
      </x:c>
      <x:c r="E16" s="17" t="n">
        <x:v>8</x:v>
      </x:c>
      <x:c r="F16" s="15" t="str">
        <x:v>COOKIES &amp; CREAM CHEESE CAKE</x:v>
      </x:c>
      <x:c r="G16" s="15" t="str">
        <x:v>Global preset</x:v>
      </x:c>
      <x:c r="H16" s="18" t="d">
        <x:v>2026-10-26T00:00:00.000Z</x:v>
      </x:c>
      <x:c r="I16" s="2" t="str">
        <x:v>ec0607</x:v>
      </x:c>
      <x:c r="J16" s="2" t="str">
        <x:v>Snacks</x:v>
      </x:c>
      <x:c r="K16" s="15" t="str">
        <x:v>Saved as a global fixed snack preset. Verify Supy serving basis before reuse.</x:v>
      </x:c>
      <x:c r="L16" s="15" t="str">
        <x:v>KitchenSnackPreset global</x:v>
      </x:c>
      <x:c r="M16" s="2" t="str">
        <x:v>66766f7d1330f25df720c6ef</x:v>
      </x:c>
      <x:c r="N16" s="19" t="n">
        <x:v>23</x:v>
      </x:c>
      <x:c r="O16" s="2" t="str">
        <x:v>Piece</x:v>
      </x:c>
    </x:row>
    <x:row r="17" ht="44" customHeight="1">
      <x:c r="A17" s="15" t="str">
        <x:v>Cracker Bliss Ball</x:v>
      </x:c>
      <x:c r="B17" s="15" t="str">
        <x:v>Global preset</x:v>
      </x:c>
      <x:c r="C17" s="17" t="n">
        <x:v>18</x:v>
      </x:c>
      <x:c r="D17" s="17" t="n">
        <x:v>10</x:v>
      </x:c>
      <x:c r="E17" s="17" t="n">
        <x:v>7</x:v>
      </x:c>
      <x:c r="F17" s="15" t="str">
        <x:v>CRACKER BLISS BALL</x:v>
      </x:c>
      <x:c r="G17" s="15" t="str">
        <x:v>Global preset</x:v>
      </x:c>
      <x:c r="H17" s="18" t="d">
        <x:v>2026-10-26T00:00:00.000Z</x:v>
      </x:c>
      <x:c r="I17" s="2" t="str">
        <x:v>697176</x:v>
      </x:c>
      <x:c r="J17" s="2" t="str">
        <x:v>Snacks</x:v>
      </x:c>
      <x:c r="K17" s="15" t="str">
        <x:v>Saved as a global fixed snack preset. Verify Supy serving basis before reuse.</x:v>
      </x:c>
      <x:c r="L17" s="15" t="str">
        <x:v>KitchenSnackPreset global</x:v>
      </x:c>
      <x:c r="M17" s="2" t="str">
        <x:v>663a3e9df1f4007fce142d98</x:v>
      </x:c>
      <x:c r="N17" s="19" t="n">
        <x:v>12</x:v>
      </x:c>
      <x:c r="O17" s="2" t="str">
        <x:v>Piece</x:v>
      </x:c>
    </x:row>
    <x:row r="18" ht="44" customHeight="1">
      <x:c r="A18" s="15" t="str">
        <x:v>Lemon Chia Muffins</x:v>
      </x:c>
      <x:c r="B18" s="15" t="str">
        <x:v>Historical rotation only</x:v>
      </x:c>
      <x:c r="C18" s="17" t="n">
        <x:v>15</x:v>
      </x:c>
      <x:c r="D18" s="17" t="n">
        <x:v>10</x:v>
      </x:c>
      <x:c r="E18" s="17" t="n">
        <x:v>8</x:v>
      </x:c>
      <x:c r="F18" s="15" t="str">
        <x:v>LEMON CHIA MUFFINS</x:v>
      </x:c>
      <x:c r="G18" s="15" t="str">
        <x:v>Weekly rotation</x:v>
      </x:c>
      <x:c r="H18" s="18" t="d">
        <x:v>2026-09-23T00:00:00.000Z</x:v>
      </x:c>
      <x:c r="I18" s="2" t="str">
        <x:v>2258d5</x:v>
      </x:c>
      <x:c r="J18" s="2" t="str">
        <x:v>Snacks</x:v>
      </x:c>
      <x:c r="K18" s="15" t="str">
        <x:v>Non-zero values exist in an older weekly rotation. Latest menus may be zero; create a global preset after checking the basis.</x:v>
      </x:c>
      <x:c r="L18" s="15" t="str">
        <x:v>Weekly Menus from Mon 21 to Sunday 27 / 2026-09-23 / second</x:v>
      </x:c>
      <x:c r="M18" s="2" t="str">
        <x:v>66422db29ff53c7315abd10c</x:v>
      </x:c>
      <x:c r="N18" s="19" t="n">
        <x:v>72</x:v>
      </x:c>
      <x:c r="O18" s="2" t="str">
        <x:v>Piece</x:v>
      </x:c>
    </x:row>
    <x:row r="19" ht="44" customHeight="1">
      <x:c r="A19" s="15" t="str">
        <x:v>Oreo Delight</x:v>
      </x:c>
      <x:c r="B19" s="15" t="str">
        <x:v>Historical rotation only</x:v>
      </x:c>
      <x:c r="C19" s="17" t="n">
        <x:v>16</x:v>
      </x:c>
      <x:c r="D19" s="17" t="n">
        <x:v>12</x:v>
      </x:c>
      <x:c r="E19" s="17" t="n">
        <x:v>8</x:v>
      </x:c>
      <x:c r="F19" s="15" t="str">
        <x:v>OREO DELIGHT</x:v>
      </x:c>
      <x:c r="G19" s="15" t="str">
        <x:v>Weekly rotation</x:v>
      </x:c>
      <x:c r="H19" s="18" t="d">
        <x:v>2026-09-24T00:00:00.000Z</x:v>
      </x:c>
      <x:c r="I19" s="2" t="str">
        <x:v>c4e263</x:v>
      </x:c>
      <x:c r="J19" s="2" t="str">
        <x:v>Snacks</x:v>
      </x:c>
      <x:c r="K19" s="15" t="str">
        <x:v>Non-zero values exist in an older weekly rotation. Latest menus may be zero; create a global preset after checking the basis.</x:v>
      </x:c>
      <x:c r="L19" s="15" t="str">
        <x:v>Weekly Menus from Mon 21 to Sunday 27 / 2026-09-24 / first</x:v>
      </x:c>
      <x:c r="M19" s="2" t="str">
        <x:v>663b6e95a1a69004929dacf6</x:v>
      </x:c>
      <x:c r="N19" s="19" t="n">
        <x:v>20</x:v>
      </x:c>
      <x:c r="O19" s="2" t="str">
        <x:v>Piece</x:v>
      </x:c>
    </x:row>
    <x:row r="20" ht="44" customHeight="1">
      <x:c r="A20" s="15" t="str">
        <x:v>Paradise Cake</x:v>
      </x:c>
      <x:c r="B20" s="15" t="str">
        <x:v>Historical rotation only</x:v>
      </x:c>
      <x:c r="C20" s="17" t="n">
        <x:v>18</x:v>
      </x:c>
      <x:c r="D20" s="17" t="n">
        <x:v>12</x:v>
      </x:c>
      <x:c r="E20" s="17" t="n">
        <x:v>6</x:v>
      </x:c>
      <x:c r="F20" s="15" t="str">
        <x:v>PARADISE CAKE</x:v>
      </x:c>
      <x:c r="G20" s="15" t="str">
        <x:v>Weekly rotation</x:v>
      </x:c>
      <x:c r="H20" s="18" t="d">
        <x:v>2026-09-16T00:00:00.000Z</x:v>
      </x:c>
      <x:c r="I20" s="2" t="str">
        <x:v>ff1975</x:v>
      </x:c>
      <x:c r="J20" s="2" t="str">
        <x:v>Snacks</x:v>
      </x:c>
      <x:c r="K20" s="15" t="str">
        <x:v>Non-zero values exist in an older weekly rotation. Latest menus may be zero; create a global preset after checking the basis.</x:v>
      </x:c>
      <x:c r="L20" s="15" t="str">
        <x:v>Weekly Menus from Mon 14 to Sunday 20 / 2026-09-16 / second</x:v>
      </x:c>
      <x:c r="M20" s="2" t="str">
        <x:v>66430181081a9ff4fc5682a3</x:v>
      </x:c>
      <x:c r="N20" s="19" t="n">
        <x:v>46</x:v>
      </x:c>
      <x:c r="O20" s="2" t="str">
        <x:v>Piece</x:v>
      </x:c>
    </x:row>
    <x:row r="21" ht="44" customHeight="1">
      <x:c r="A21" s="15" t="str">
        <x:v>Peanut Butter Cake</x:v>
      </x:c>
      <x:c r="B21" s="15" t="str">
        <x:v>Historical rotation only</x:v>
      </x:c>
      <x:c r="C21" s="17" t="n">
        <x:v>14</x:v>
      </x:c>
      <x:c r="D21" s="17" t="n">
        <x:v>9</x:v>
      </x:c>
      <x:c r="E21" s="17" t="n">
        <x:v>6</x:v>
      </x:c>
      <x:c r="F21" s="15" t="str">
        <x:v>PEANUT BUTTER CAKE</x:v>
      </x:c>
      <x:c r="G21" s="15" t="str">
        <x:v>Weekly rotation</x:v>
      </x:c>
      <x:c r="H21" s="18" t="d">
        <x:v>2026-09-29T00:00:00.000Z</x:v>
      </x:c>
      <x:c r="I21" s="2" t="str">
        <x:v>f92c24</x:v>
      </x:c>
      <x:c r="J21" s="2" t="str">
        <x:v>Snacks</x:v>
      </x:c>
      <x:c r="K21" s="15" t="str">
        <x:v>Non-zero values exist in an older weekly rotation. Latest menus may be zero; create a global preset after checking the basis.</x:v>
      </x:c>
      <x:c r="L21" s="15" t="str">
        <x:v>Weekly menus from mon 28 to sunday 4 / 2026-09-29 / second</x:v>
      </x:c>
      <x:c r="M21" s="2" t="str">
        <x:v>6a311594704e093bb44b604a</x:v>
      </x:c>
      <x:c r="N21" s="19" t="n">
        <x:v>46</x:v>
      </x:c>
      <x:c r="O21" s="2" t="str">
        <x:v>Piece</x:v>
      </x:c>
    </x:row>
    <x:row r="22" ht="44" customHeight="1">
      <x:c r="A22" s="15" t="str">
        <x:v>Peanut Butter Muffins</x:v>
      </x:c>
      <x:c r="B22" s="15" t="str">
        <x:v>Historical rotation only</x:v>
      </x:c>
      <x:c r="C22" s="17" t="n">
        <x:v>15</x:v>
      </x:c>
      <x:c r="D22" s="17" t="n">
        <x:v>10</x:v>
      </x:c>
      <x:c r="E22" s="17" t="n">
        <x:v>6</x:v>
      </x:c>
      <x:c r="F22" s="15" t="str">
        <x:v>PEANUT BUTTER MUFFINS</x:v>
      </x:c>
      <x:c r="G22" s="15" t="str">
        <x:v>Weekly rotation</x:v>
      </x:c>
      <x:c r="H22" s="18" t="d">
        <x:v>2026-09-24T00:00:00.000Z</x:v>
      </x:c>
      <x:c r="I22" s="2" t="str">
        <x:v>702be1</x:v>
      </x:c>
      <x:c r="J22" s="2" t="str">
        <x:v>Snacks</x:v>
      </x:c>
      <x:c r="K22" s="15" t="str">
        <x:v>Non-zero values exist in an older weekly rotation. Latest menus may be zero; create a global preset after checking the basis.</x:v>
      </x:c>
      <x:c r="L22" s="15" t="str">
        <x:v>Weekly Menus from Mon 21 to Sunday 27 / 2026-09-24 / second</x:v>
      </x:c>
      <x:c r="M22" s="2" t="str">
        <x:v>6669a89f12052753f5430c3e</x:v>
      </x:c>
      <x:c r="N22" s="19" t="n">
        <x:v>48</x:v>
      </x:c>
      <x:c r="O22" s="2" t="str">
        <x:v>Piece</x:v>
      </x:c>
    </x:row>
    <x:row r="23" ht="44" customHeight="1">
      <x:c r="A23" s="15" t="str">
        <x:v>Sesame Treat</x:v>
      </x:c>
      <x:c r="B23" s="15" t="str">
        <x:v>Historical rotation only</x:v>
      </x:c>
      <x:c r="C23" s="17" t="n">
        <x:v>18</x:v>
      </x:c>
      <x:c r="D23" s="17" t="n">
        <x:v>10</x:v>
      </x:c>
      <x:c r="E23" s="17" t="n">
        <x:v>8</x:v>
      </x:c>
      <x:c r="F23" s="15" t="str">
        <x:v>SESAME TREAT</x:v>
      </x:c>
      <x:c r="G23" s="15" t="str">
        <x:v>Weekly rotation</x:v>
      </x:c>
      <x:c r="H23" s="18" t="d">
        <x:v>2026-09-30T00:00:00.000Z</x:v>
      </x:c>
      <x:c r="I23" s="2" t="str">
        <x:v>216d53</x:v>
      </x:c>
      <x:c r="J23" s="2" t="str">
        <x:v>Snacks</x:v>
      </x:c>
      <x:c r="K23" s="15" t="str">
        <x:v>Non-zero values exist in an older weekly rotation. Latest menus may be zero; create a global preset after checking the basis.</x:v>
      </x:c>
      <x:c r="L23" s="15" t="str">
        <x:v>Weekly menus from mon 28 to sunday 4 / 2026-09-30 / first</x:v>
      </x:c>
      <x:c r="M23" s="2" t="str">
        <x:v>66422ba2e56bddb856ea94a7</x:v>
      </x:c>
      <x:c r="N23" s="19" t="n">
        <x:v>48</x:v>
      </x:c>
      <x:c r="O23" s="2" t="str">
        <x:v>Piece</x:v>
      </x:c>
    </x:row>
  </x:sheetData>
  <x:conditionalFormatting sqref="B10:B23">
    <x:cfRule type="containsText" dxfId="0" priority="1" operator="containsText" text="Name mismatch"/>
    <x:cfRule type="containsText" dxfId="1" priority="2" operator="containsText" text="Historical"/>
    <x:cfRule type="containsText" dxfId="2" priority="3" operator="containsText" text="All-zero"/>
    <x:cfRule type="containsText" dxfId="3" priority="4" operator="containsText" text="No macros"/>
  </x:conditionalFormatting>
  <x:pageMargins left="0.7" right="0.7" top="0.75" bottom="0.75" header="0.3" footer="0.3"/>
  <x:tableParts count="1">
    <x:tablePart xmlns:r="http://schemas.openxmlformats.org/officeDocument/2006/relationships" r:id="R59cfc3c028a740c4"/>
  </x:tableParts>
</x:worksheet>
</file>

<file path=xl/worksheets/sheet2.xml><?xml version="1.0" encoding="utf-8"?>
<x:worksheet xmlns:x="http://schemas.openxmlformats.org/spreadsheetml/2006/main">
  <x:sheetPr>
    <x:tabColor rgb="FFA16207"/>
  </x:sheetPr>
  <x:sheetViews>
    <x:sheetView showGridLines="0" workbookViewId="0">
      <x:pane xSplit="1" ySplit="9" topLeftCell="B10" activePane="bottomRight" state="frozen"/>
    </x:sheetView>
  </x:sheetViews>
  <x:sheetFormatPr defaultRowHeight="15"/>
  <x:cols>
    <x:col min="1" max="1" width="38" hidden="0" customWidth="1"/>
    <x:col min="2" max="2" width="26" hidden="0" customWidth="1"/>
    <x:col min="3" max="3" width="12" hidden="0" customWidth="1"/>
    <x:col min="4" max="4" width="12" hidden="0" customWidth="1"/>
    <x:col min="5" max="5" width="11" hidden="0" customWidth="1"/>
    <x:col min="6" max="6" width="38" hidden="0" customWidth="1"/>
    <x:col min="7" max="7" width="25" hidden="0" customWidth="1"/>
    <x:col min="8" max="8" width="16" hidden="0" customWidth="1"/>
    <x:col min="9" max="9" width="14" hidden="0" customWidth="1"/>
    <x:col min="10" max="10" width="22" hidden="0" customWidth="1"/>
    <x:col min="11" max="11" width="68" hidden="0" customWidth="1"/>
    <x:col min="12" max="12" width="65" hidden="0" customWidth="1"/>
    <x:col min="13" max="13" width="28" hidden="0" customWidth="1"/>
    <x:col min="14" max="14" width="18" hidden="0" customWidth="1"/>
    <x:col min="15" max="15" width="1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0" customHeight="1">
      <x:c r="A2" s="4" t="str">
        <x:v>Supy snacks missing macros or needing review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4" customHeight="1">
      <x:c r="A3" s="7" t="str">
        <x:v>Source: available Supy recipes + internal MongoDB snack presets and weekly rotations. Extracted 26/10/2026, 14:45:08 Dubai.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</x:row>
    <x:row r="4" ht="24" customHeight="1">
      <x:c r="A4" s="7" t="str">
        <x:v>Complete macros = numeric C/P/F, with a positive total. All-zero entries need review. Name-variant candidates are not confirmed matches.</x:v>
      </x:c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</x:row>
    <x:row r="5" ht="24" customHeight="1">
      <x:c r="A5" s="7" t="str">
        <x:v>Weekly-rotation values may be divided by snack count; global presets are fixed per snack. No Supy serving conversion was applied.</x:v>
      </x:c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</x:row>
    <x:row r="6" ht="24" customHeight="1">
      <x:c r="A6" s="8" t="str">
        <x:v>Missing / review</x:v>
      </x:c>
      <x:c r="B6" s="9" t="n">
        <x:f>COUNTA(A10:A61)</x:f>
        <x:v>52</x:v>
      </x:c>
      <x:c r="C6" s="8"/>
      <x:c r="D6" s="8" t="str">
        <x:v>Global presets</x:v>
      </x:c>
      <x:c r="E6" s="9" t="n">
        <x:f>COUNTIFS(B10:B61,"Global preset")</x:f>
        <x:v>0</x:v>
      </x:c>
      <x:c r="F6" s="8"/>
      <x:c r="G6" s="8" t="str">
        <x:v>Historical only</x:v>
      </x:c>
      <x:c r="H6" s="9" t="n">
        <x:f>COUNTIFS(B10:B61,"Historical rotation only")</x:f>
        <x:v>0</x:v>
      </x:c>
      <x:c r="I6" s="8"/>
      <x:c r="J6" s="8" t="str">
        <x:v>Name review</x:v>
      </x:c>
      <x:c r="K6" s="9" t="n">
        <x:f>COUNTIFS(B10:B61,"Name mismatch - review")</x:f>
        <x:v>2</x:v>
      </x:c>
      <x:c r="L6" s="8"/>
      <x:c r="M6" s="8"/>
      <x:c r="N6" s="8"/>
      <x:c r="O6" s="8"/>
    </x:row>
    <x:row r="7" ht="24" customHeight="1">
      <x:c r="A7" s="10" t="str">
        <x:v>Scope: 66 available recipes in Supy category Snacks. Four global matches, ten historical matches, and 52 missing / review records.</x:v>
      </x:c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</x:row>
    <x:row r="8" ht="24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</x:row>
    <x:row r="9" ht="38" customHeight="1">
      <x:c r="A9" s="14" t="str">
        <x:v>Supy snack</x:v>
      </x:c>
      <x:c r="B9" s="14" t="str">
        <x:v>Macro status</x:v>
      </x:c>
      <x:c r="C9" s="14" t="str">
        <x:v>Carbs (g)</x:v>
      </x:c>
      <x:c r="D9" s="14" t="str">
        <x:v>Protein (g)</x:v>
      </x:c>
      <x:c r="E9" s="14" t="str">
        <x:v>Fat (g)</x:v>
      </x:c>
      <x:c r="F9" s="14" t="str">
        <x:v>Internal snack name</x:v>
      </x:c>
      <x:c r="G9" s="14" t="str">
        <x:v>Macro source</x:v>
      </x:c>
      <x:c r="H9" s="14" t="str">
        <x:v>Record date</x:v>
      </x:c>
      <x:c r="I9" s="14" t="str">
        <x:v>Supy code</x:v>
      </x:c>
      <x:c r="J9" s="14" t="str">
        <x:v>Supy category</x:v>
      </x:c>
      <x:c r="K9" s="14" t="str">
        <x:v>Action / reason</x:v>
      </x:c>
      <x:c r="L9" s="14" t="str">
        <x:v>Internal source reference</x:v>
      </x:c>
      <x:c r="M9" s="14" t="str">
        <x:v>Supy recipe ID</x:v>
      </x:c>
      <x:c r="N9" s="14" t="str">
        <x:v>Supy portion quantity</x:v>
      </x:c>
      <x:c r="O9" s="14" t="str">
        <x:v>Supy unit</x:v>
      </x:c>
    </x:row>
    <x:row r="10" ht="44" customHeight="1">
      <x:c r="A10" s="15" t="str">
        <x:v>Apricot Muffin</x:v>
      </x:c>
      <x:c r="B10" s="15" t="str">
        <x:v>Name mismatch - review</x:v>
      </x:c>
      <x:c r="C10" s="17" t="n">
        <x:v>10</x:v>
      </x:c>
      <x:c r="D10" s="17" t="n">
        <x:v>12</x:v>
      </x:c>
      <x:c r="E10" s="17" t="n">
        <x:v>7</x:v>
      </x:c>
      <x:c r="F10" s="15" t="str">
        <x:v>APRICOT MUFFINS</x:v>
      </x:c>
      <x:c r="G10" s="15" t="str">
        <x:v>Global preset (candidate)</x:v>
      </x:c>
      <x:c r="H10" s="18" t="d">
        <x:v>2026-10-26T00:00:00.000Z</x:v>
      </x:c>
      <x:c r="I10" s="2" t="str">
        <x:v>a81c29</x:v>
      </x:c>
      <x:c r="J10" s="2" t="str">
        <x:v>Snacks</x:v>
      </x:c>
      <x:c r="K10" s="15" t="str">
        <x:v>Singular/plural name differs. App does not resolve this name; verify and align names before use.</x:v>
      </x:c>
      <x:c r="L10" s="15" t="str">
        <x:v>KitchenSnackPreset global</x:v>
      </x:c>
      <x:c r="M10" s="2" t="str">
        <x:v>664b4d09381a3c6c7395f4e3</x:v>
      </x:c>
      <x:c r="N10" s="19" t="n">
        <x:v>48</x:v>
      </x:c>
      <x:c r="O10" s="2" t="str">
        <x:v>Piece</x:v>
      </x:c>
    </x:row>
    <x:row r="11" ht="44" customHeight="1">
      <x:c r="A11" s="15" t="str">
        <x:v>Brain Cluster</x:v>
      </x:c>
      <x:c r="B11" s="15" t="str">
        <x:v>Name mismatch - review</x:v>
      </x:c>
      <x:c r="C11" s="17" t="n">
        <x:v>14</x:v>
      </x:c>
      <x:c r="D11" s="17" t="n">
        <x:v>11</x:v>
      </x:c>
      <x:c r="E11" s="17" t="n">
        <x:v>7</x:v>
      </x:c>
      <x:c r="F11" s="15" t="str">
        <x:v>BRAIN CLUSTERS</x:v>
      </x:c>
      <x:c r="G11" s="15" t="str">
        <x:v>Global preset (candidate)</x:v>
      </x:c>
      <x:c r="H11" s="18" t="d">
        <x:v>2026-10-26T00:00:00.000Z</x:v>
      </x:c>
      <x:c r="I11" s="2" t="str">
        <x:v>9b97e8</x:v>
      </x:c>
      <x:c r="J11" s="2" t="str">
        <x:v>Snacks</x:v>
      </x:c>
      <x:c r="K11" s="15" t="str">
        <x:v>Singular/plural name differs. App does not resolve this name; verify and align names before use.</x:v>
      </x:c>
      <x:c r="L11" s="15" t="str">
        <x:v>KitchenSnackPreset global</x:v>
      </x:c>
      <x:c r="M11" s="2" t="str">
        <x:v>6662bb44d06c0aa9a7e7edb1</x:v>
      </x:c>
      <x:c r="N11" s="19" t="n">
        <x:v>56</x:v>
      </x:c>
      <x:c r="O11" s="2" t="str">
        <x:v>Piece</x:v>
      </x:c>
    </x:row>
    <x:row r="12" ht="44" customHeight="1">
      <x:c r="A12" s="15" t="str">
        <x:v>Apple Brown Sugar Cake</x:v>
      </x:c>
      <x:c r="B12" s="15" t="str">
        <x:v>No macros found</x:v>
      </x:c>
      <x:c r="C12" s="17"/>
      <x:c r="D12" s="17"/>
      <x:c r="E12" s="17"/>
      <x:c r="F12" s="15" t="str"/>
      <x:c r="G12" s="15" t="str"/>
      <x:c r="H12" s="18"/>
      <x:c r="I12" s="2" t="str">
        <x:v>63cbae</x:v>
      </x:c>
      <x:c r="J12" s="2" t="str">
        <x:v>Snacks</x:v>
      </x:c>
      <x:c r="K12" s="15" t="str">
        <x:v>No complete positive C/P/F found in global presets or any weekly rotation.</x:v>
      </x:c>
      <x:c r="L12" s="15" t="str"/>
      <x:c r="M12" s="2" t="str">
        <x:v>66dfebccb639c29ecf5f6f01</x:v>
      </x:c>
      <x:c r="N12" s="19" t="n">
        <x:v>92</x:v>
      </x:c>
      <x:c r="O12" s="2" t="str">
        <x:v>Piece</x:v>
      </x:c>
    </x:row>
    <x:row r="13" ht="44" customHeight="1">
      <x:c r="A13" s="15" t="str">
        <x:v>Apple Nutty Ball</x:v>
      </x:c>
      <x:c r="B13" s="15" t="str">
        <x:v>No macros found</x:v>
      </x:c>
      <x:c r="C13" s="17"/>
      <x:c r="D13" s="17"/>
      <x:c r="E13" s="17"/>
      <x:c r="F13" s="15" t="str"/>
      <x:c r="G13" s="15" t="str"/>
      <x:c r="H13" s="18"/>
      <x:c r="I13" s="2" t="str">
        <x:v>d90cbb</x:v>
      </x:c>
      <x:c r="J13" s="2" t="str">
        <x:v>Snacks</x:v>
      </x:c>
      <x:c r="K13" s="15" t="str">
        <x:v>No complete positive C/P/F found in global presets or any weekly rotation.</x:v>
      </x:c>
      <x:c r="L13" s="15" t="str"/>
      <x:c r="M13" s="2" t="str">
        <x:v>663ccd73f56dc2f9188eecf1</x:v>
      </x:c>
      <x:c r="N13" s="19" t="n">
        <x:v>55</x:v>
      </x:c>
      <x:c r="O13" s="2" t="str">
        <x:v>Piece</x:v>
      </x:c>
    </x:row>
    <x:row r="14" ht="44" customHeight="1">
      <x:c r="A14" s="15" t="str">
        <x:v>Apricot Ball</x:v>
      </x:c>
      <x:c r="B14" s="15" t="str">
        <x:v>No macros found</x:v>
      </x:c>
      <x:c r="C14" s="17"/>
      <x:c r="D14" s="17"/>
      <x:c r="E14" s="17"/>
      <x:c r="F14" s="15" t="str"/>
      <x:c r="G14" s="15" t="str"/>
      <x:c r="H14" s="18"/>
      <x:c r="I14" s="2" t="str">
        <x:v>f14f05</x:v>
      </x:c>
      <x:c r="J14" s="2" t="str">
        <x:v>Snacks</x:v>
      </x:c>
      <x:c r="K14" s="15" t="str">
        <x:v>No complete positive C/P/F found in global presets or any weekly rotation.</x:v>
      </x:c>
      <x:c r="L14" s="15" t="str"/>
      <x:c r="M14" s="2" t="str">
        <x:v>664225256e2be5b72e08147d</x:v>
      </x:c>
      <x:c r="N14" s="19" t="n">
        <x:v>60</x:v>
      </x:c>
      <x:c r="O14" s="2" t="str">
        <x:v>Piece</x:v>
      </x:c>
    </x:row>
    <x:row r="15" ht="44" customHeight="1">
      <x:c r="A15" s="15" t="str">
        <x:v>Banana Strawberry Protein Shake</x:v>
      </x:c>
      <x:c r="B15" s="15" t="str">
        <x:v>No macros found</x:v>
      </x:c>
      <x:c r="C15" s="17"/>
      <x:c r="D15" s="17"/>
      <x:c r="E15" s="17"/>
      <x:c r="F15" s="15" t="str"/>
      <x:c r="G15" s="15" t="str"/>
      <x:c r="H15" s="18"/>
      <x:c r="I15" s="2" t="str">
        <x:v>e8d384</x:v>
      </x:c>
      <x:c r="J15" s="2" t="str">
        <x:v>Snacks</x:v>
      </x:c>
      <x:c r="K15" s="15" t="str">
        <x:v>No complete positive C/P/F found in global presets or any weekly rotation.</x:v>
      </x:c>
      <x:c r="L15" s="15" t="str"/>
      <x:c r="M15" s="2" t="str">
        <x:v>66a385ac7283433beb135925</x:v>
      </x:c>
      <x:c r="N15" s="19" t="n">
        <x:v>450</x:v>
      </x:c>
      <x:c r="O15" s="2" t="str">
        <x:v>g</x:v>
      </x:c>
    </x:row>
    <x:row r="16" ht="44" customHeight="1">
      <x:c r="A16" s="15" t="str">
        <x:v>Beet &amp; Berry Energy Gel</x:v>
      </x:c>
      <x:c r="B16" s="15" t="str">
        <x:v>No macros found</x:v>
      </x:c>
      <x:c r="C16" s="17"/>
      <x:c r="D16" s="17"/>
      <x:c r="E16" s="17"/>
      <x:c r="F16" s="15" t="str"/>
      <x:c r="G16" s="15" t="str"/>
      <x:c r="H16" s="18"/>
      <x:c r="I16" s="2" t="str">
        <x:v>ea48cb</x:v>
      </x:c>
      <x:c r="J16" s="2" t="str">
        <x:v>Snacks</x:v>
      </x:c>
      <x:c r="K16" s="15" t="str">
        <x:v>No complete positive C/P/F found in global presets or any weekly rotation.</x:v>
      </x:c>
      <x:c r="L16" s="15" t="str"/>
      <x:c r="M16" s="2" t="str">
        <x:v>66a383ba7283433beb135628</x:v>
      </x:c>
      <x:c r="N16" s="19" t="n">
        <x:v>150</x:v>
      </x:c>
      <x:c r="O16" s="2" t="str">
        <x:v>g</x:v>
      </x:c>
    </x:row>
    <x:row r="17" ht="44" customHeight="1">
      <x:c r="A17" s="15" t="str">
        <x:v>Blueberry Bar</x:v>
      </x:c>
      <x:c r="B17" s="15" t="str">
        <x:v>No macros found</x:v>
      </x:c>
      <x:c r="C17" s="17"/>
      <x:c r="D17" s="17"/>
      <x:c r="E17" s="17"/>
      <x:c r="F17" s="15" t="str"/>
      <x:c r="G17" s="15" t="str"/>
      <x:c r="H17" s="18"/>
      <x:c r="I17" s="2" t="str">
        <x:v>69bd68</x:v>
      </x:c>
      <x:c r="J17" s="2" t="str">
        <x:v>Snacks</x:v>
      </x:c>
      <x:c r="K17" s="15" t="str">
        <x:v>No complete positive C/P/F found in global presets or any weekly rotation.</x:v>
      </x:c>
      <x:c r="L17" s="15" t="str"/>
      <x:c r="M17" s="2" t="str">
        <x:v>66c9960f3e733484de686740</x:v>
      </x:c>
      <x:c r="N17" s="19" t="n">
        <x:v>69</x:v>
      </x:c>
      <x:c r="O17" s="2" t="str">
        <x:v>Piece</x:v>
      </x:c>
    </x:row>
    <x:row r="18" ht="44" customHeight="1">
      <x:c r="A18" s="15" t="str">
        <x:v>Blueberry Muffins</x:v>
      </x:c>
      <x:c r="B18" s="15" t="str">
        <x:v>No macros found</x:v>
      </x:c>
      <x:c r="C18" s="17"/>
      <x:c r="D18" s="17"/>
      <x:c r="E18" s="17"/>
      <x:c r="F18" s="15" t="str"/>
      <x:c r="G18" s="15" t="str"/>
      <x:c r="H18" s="18"/>
      <x:c r="I18" s="2" t="str">
        <x:v>63d61f</x:v>
      </x:c>
      <x:c r="J18" s="2" t="str">
        <x:v>Snacks</x:v>
      </x:c>
      <x:c r="K18" s="15" t="str">
        <x:v>No complete positive C/P/F found in global presets or any weekly rotation.</x:v>
      </x:c>
      <x:c r="L18" s="15" t="str"/>
      <x:c r="M18" s="2" t="str">
        <x:v>664226096e2be5b72e08164f</x:v>
      </x:c>
      <x:c r="N18" s="19" t="n">
        <x:v>48</x:v>
      </x:c>
      <x:c r="O18" s="2" t="str">
        <x:v>Piece</x:v>
      </x:c>
    </x:row>
    <x:row r="19" ht="44" customHeight="1">
      <x:c r="A19" s="15" t="str">
        <x:v>Cheesecake Bites</x:v>
      </x:c>
      <x:c r="B19" s="15" t="str">
        <x:v>No macros found</x:v>
      </x:c>
      <x:c r="C19" s="17"/>
      <x:c r="D19" s="17"/>
      <x:c r="E19" s="17"/>
      <x:c r="F19" s="15" t="str"/>
      <x:c r="G19" s="15" t="str"/>
      <x:c r="H19" s="18"/>
      <x:c r="I19" s="2" t="str">
        <x:v>d2d973</x:v>
      </x:c>
      <x:c r="J19" s="2" t="str">
        <x:v>Snacks</x:v>
      </x:c>
      <x:c r="K19" s="15" t="str">
        <x:v>No complete positive C/P/F found in global presets or any weekly rotation.</x:v>
      </x:c>
      <x:c r="L19" s="15" t="str"/>
      <x:c r="M19" s="2" t="str">
        <x:v>68bc0c00d14f75ba68b2b846</x:v>
      </x:c>
      <x:c r="N19" s="19" t="n">
        <x:v>23</x:v>
      </x:c>
      <x:c r="O19" s="2" t="str">
        <x:v>Piece</x:v>
      </x:c>
    </x:row>
    <x:row r="20" ht="44" customHeight="1">
      <x:c r="A20" s="15" t="str">
        <x:v>Choco Date Coffee Ball</x:v>
      </x:c>
      <x:c r="B20" s="15" t="str">
        <x:v>No macros found</x:v>
      </x:c>
      <x:c r="C20" s="17"/>
      <x:c r="D20" s="17"/>
      <x:c r="E20" s="17"/>
      <x:c r="F20" s="15" t="str"/>
      <x:c r="G20" s="15" t="str"/>
      <x:c r="H20" s="18"/>
      <x:c r="I20" s="2" t="str">
        <x:v>26bf8d</x:v>
      </x:c>
      <x:c r="J20" s="2" t="str">
        <x:v>Snacks</x:v>
      </x:c>
      <x:c r="K20" s="15" t="str">
        <x:v>No complete positive C/P/F found in global presets or any weekly rotation.</x:v>
      </x:c>
      <x:c r="L20" s="15" t="str"/>
      <x:c r="M20" s="2" t="str">
        <x:v>66422ae9e56bddb856ea93b1</x:v>
      </x:c>
      <x:c r="N20" s="19" t="n">
        <x:v>47</x:v>
      </x:c>
      <x:c r="O20" s="2" t="str">
        <x:v>Piece</x:v>
      </x:c>
    </x:row>
    <x:row r="21" ht="44" customHeight="1">
      <x:c r="A21" s="15" t="str">
        <x:v>Choco Mint Muffins</x:v>
      </x:c>
      <x:c r="B21" s="15" t="str">
        <x:v>No macros found</x:v>
      </x:c>
      <x:c r="C21" s="17"/>
      <x:c r="D21" s="17"/>
      <x:c r="E21" s="17"/>
      <x:c r="F21" s="15" t="str"/>
      <x:c r="G21" s="15" t="str"/>
      <x:c r="H21" s="18"/>
      <x:c r="I21" s="2" t="str">
        <x:v>464fa4</x:v>
      </x:c>
      <x:c r="J21" s="2" t="str">
        <x:v>Snacks</x:v>
      </x:c>
      <x:c r="K21" s="15" t="str">
        <x:v>No complete positive C/P/F found in global presets or any weekly rotation.</x:v>
      </x:c>
      <x:c r="L21" s="15" t="str"/>
      <x:c r="M21" s="2" t="str">
        <x:v>66c996ac3e733484de686893</x:v>
      </x:c>
      <x:c r="N21" s="19" t="n">
        <x:v>60</x:v>
      </x:c>
      <x:c r="O21" s="2" t="str">
        <x:v>Piece</x:v>
      </x:c>
    </x:row>
    <x:row r="22" ht="44" customHeight="1">
      <x:c r="A22" s="15" t="str">
        <x:v>Chocolate Cookies</x:v>
      </x:c>
      <x:c r="B22" s="15" t="str">
        <x:v>No macros found</x:v>
      </x:c>
      <x:c r="C22" s="17"/>
      <x:c r="D22" s="17"/>
      <x:c r="E22" s="17"/>
      <x:c r="F22" s="15" t="str"/>
      <x:c r="G22" s="15" t="str"/>
      <x:c r="H22" s="18"/>
      <x:c r="I22" s="2" t="str">
        <x:v>e45a6d</x:v>
      </x:c>
      <x:c r="J22" s="2" t="str">
        <x:v>Snacks</x:v>
      </x:c>
      <x:c r="K22" s="15" t="str">
        <x:v>No complete positive C/P/F found in global presets or any weekly rotation.</x:v>
      </x:c>
      <x:c r="L22" s="15" t="str"/>
      <x:c r="M22" s="2" t="str">
        <x:v>663cb95df56dc2f9188ed15c</x:v>
      </x:c>
      <x:c r="N22" s="19" t="n">
        <x:v>60</x:v>
      </x:c>
      <x:c r="O22" s="2" t="str">
        <x:v>Piece</x:v>
      </x:c>
    </x:row>
    <x:row r="23" ht="44" customHeight="1">
      <x:c r="A23" s="15" t="str">
        <x:v>Chocolate Oat Cookies</x:v>
      </x:c>
      <x:c r="B23" s="15" t="str">
        <x:v>No macros found</x:v>
      </x:c>
      <x:c r="C23" s="17"/>
      <x:c r="D23" s="17"/>
      <x:c r="E23" s="17"/>
      <x:c r="F23" s="15" t="str"/>
      <x:c r="G23" s="15" t="str"/>
      <x:c r="H23" s="18"/>
      <x:c r="I23" s="2" t="str">
        <x:v>15169e</x:v>
      </x:c>
      <x:c r="J23" s="2" t="str">
        <x:v>Snacks</x:v>
      </x:c>
      <x:c r="K23" s="15" t="str">
        <x:v>No complete positive C/P/F found in global presets or any weekly rotation.</x:v>
      </x:c>
      <x:c r="L23" s="15" t="str"/>
      <x:c r="M23" s="2" t="str">
        <x:v>6679662e3af35e30bfa5bb01</x:v>
      </x:c>
      <x:c r="N23" s="19" t="n">
        <x:v>60</x:v>
      </x:c>
      <x:c r="O23" s="2" t="str">
        <x:v>Piece</x:v>
      </x:c>
    </x:row>
    <x:row r="24" ht="44" customHeight="1">
      <x:c r="A24" s="15" t="str">
        <x:v>Cinnamon Roll Energy Ball</x:v>
      </x:c>
      <x:c r="B24" s="15" t="str">
        <x:v>All-zero macros</x:v>
      </x:c>
      <x:c r="C24" s="17" t="n">
        <x:v>0</x:v>
      </x:c>
      <x:c r="D24" s="17" t="n">
        <x:v>0</x:v>
      </x:c>
      <x:c r="E24" s="17" t="n">
        <x:v>0</x:v>
      </x:c>
      <x:c r="F24" s="15" t="str">
        <x:v>CINNAMON ROLL ENERGY BALL</x:v>
      </x:c>
      <x:c r="G24" s="15" t="str">
        <x:v>Weekly rotation</x:v>
      </x:c>
      <x:c r="H24" s="18" t="d">
        <x:v>2026-10-29T00:00:00.000Z</x:v>
      </x:c>
      <x:c r="I24" s="2" t="str">
        <x:v>a37de9</x:v>
      </x:c>
      <x:c r="J24" s="2" t="str">
        <x:v>Snacks</x:v>
      </x:c>
      <x:c r="K24" s="15" t="str">
        <x:v>Name exists internally but all stored C/P/F values are zero. Values need completion.</x:v>
      </x:c>
      <x:c r="L24" s="15" t="str">
        <x:v>Weekly menus from Mon 26 oct to Sunday 1 Nov / 2026-10-29 / first</x:v>
      </x:c>
      <x:c r="M24" s="2" t="str">
        <x:v>6638f53403e56f5c15596614</x:v>
      </x:c>
      <x:c r="N24" s="19" t="n">
        <x:v>9.38</x:v>
      </x:c>
      <x:c r="O24" s="2" t="str">
        <x:v>Piece</x:v>
      </x:c>
    </x:row>
    <x:row r="25" ht="44" customHeight="1">
      <x:c r="A25" s="15" t="str">
        <x:v>Cinnamon Stripe Cake</x:v>
      </x:c>
      <x:c r="B25" s="15" t="str">
        <x:v>No macros found</x:v>
      </x:c>
      <x:c r="C25" s="17"/>
      <x:c r="D25" s="17"/>
      <x:c r="E25" s="17"/>
      <x:c r="F25" s="15" t="str"/>
      <x:c r="G25" s="15" t="str"/>
      <x:c r="H25" s="18"/>
      <x:c r="I25" s="2" t="str">
        <x:v>d534f8</x:v>
      </x:c>
      <x:c r="J25" s="2" t="str">
        <x:v>Snacks</x:v>
      </x:c>
      <x:c r="K25" s="15" t="str">
        <x:v>No complete positive C/P/F found in global presets or any weekly rotation.</x:v>
      </x:c>
      <x:c r="L25" s="15" t="str"/>
      <x:c r="M25" s="2" t="str">
        <x:v>663a3b66f1f4007fce142836</x:v>
      </x:c>
      <x:c r="N25" s="19" t="n">
        <x:v>23</x:v>
      </x:c>
      <x:c r="O25" s="2" t="str">
        <x:v>Piece</x:v>
      </x:c>
    </x:row>
    <x:row r="26" ht="44" customHeight="1">
      <x:c r="A26" s="15" t="str">
        <x:v>Cranberry Ball</x:v>
      </x:c>
      <x:c r="B26" s="15" t="str">
        <x:v>No macros found</x:v>
      </x:c>
      <x:c r="C26" s="17"/>
      <x:c r="D26" s="17"/>
      <x:c r="E26" s="17"/>
      <x:c r="F26" s="15" t="str"/>
      <x:c r="G26" s="15" t="str"/>
      <x:c r="H26" s="18"/>
      <x:c r="I26" s="2" t="str">
        <x:v>3929cb</x:v>
      </x:c>
      <x:c r="J26" s="2" t="str">
        <x:v>Snacks</x:v>
      </x:c>
      <x:c r="K26" s="15" t="str">
        <x:v>No complete positive C/P/F found in global presets or any weekly rotation.</x:v>
      </x:c>
      <x:c r="L26" s="15" t="str"/>
      <x:c r="M26" s="2" t="str">
        <x:v>663cc0fc81c1c6f666961703</x:v>
      </x:c>
      <x:c r="N26" s="19" t="n">
        <x:v>48</x:v>
      </x:c>
      <x:c r="O26" s="2" t="str">
        <x:v>Piece</x:v>
      </x:c>
    </x:row>
    <x:row r="27" ht="44" customHeight="1">
      <x:c r="A27" s="15" t="str">
        <x:v>Date Cinnamon Muffins</x:v>
      </x:c>
      <x:c r="B27" s="15" t="str">
        <x:v>No macros found</x:v>
      </x:c>
      <x:c r="C27" s="17"/>
      <x:c r="D27" s="17"/>
      <x:c r="E27" s="17"/>
      <x:c r="F27" s="15" t="str"/>
      <x:c r="G27" s="15" t="str"/>
      <x:c r="H27" s="18"/>
      <x:c r="I27" s="2" t="str">
        <x:v>15aaba</x:v>
      </x:c>
      <x:c r="J27" s="2" t="str">
        <x:v>Snacks</x:v>
      </x:c>
      <x:c r="K27" s="15" t="str">
        <x:v>No complete positive C/P/F found in global presets or any weekly rotation.</x:v>
      </x:c>
      <x:c r="L27" s="15" t="str"/>
      <x:c r="M27" s="2" t="str">
        <x:v>663b91e7a1a69004929dd959</x:v>
      </x:c>
      <x:c r="N27" s="19" t="n">
        <x:v>60</x:v>
      </x:c>
      <x:c r="O27" s="2" t="str">
        <x:v>Piece</x:v>
      </x:c>
    </x:row>
    <x:row r="28" ht="44" customHeight="1">
      <x:c r="A28" s="15" t="str">
        <x:v>Falafel</x:v>
      </x:c>
      <x:c r="B28" s="15" t="str">
        <x:v>No macros found</x:v>
      </x:c>
      <x:c r="C28" s="17"/>
      <x:c r="D28" s="17"/>
      <x:c r="E28" s="17"/>
      <x:c r="F28" s="15" t="str"/>
      <x:c r="G28" s="15" t="str"/>
      <x:c r="H28" s="18"/>
      <x:c r="I28" s="2" t="str">
        <x:v>f43570</x:v>
      </x:c>
      <x:c r="J28" s="2" t="str">
        <x:v>Snacks</x:v>
      </x:c>
      <x:c r="K28" s="15" t="str">
        <x:v>No complete positive C/P/F found in global presets or any weekly rotation.</x:v>
      </x:c>
      <x:c r="L28" s="15" t="str"/>
      <x:c r="M28" s="2" t="str">
        <x:v>6638f6ba03e56f5c15596853</x:v>
      </x:c>
      <x:c r="N28" s="19" t="n">
        <x:v>12</x:v>
      </x:c>
      <x:c r="O28" s="2" t="str">
        <x:v>Piece</x:v>
      </x:c>
    </x:row>
    <x:row r="29" ht="44" customHeight="1">
      <x:c r="A29" s="15" t="str">
        <x:v>Funfetti Muffins</x:v>
      </x:c>
      <x:c r="B29" s="15" t="str">
        <x:v>No macros found</x:v>
      </x:c>
      <x:c r="C29" s="17"/>
      <x:c r="D29" s="17"/>
      <x:c r="E29" s="17"/>
      <x:c r="F29" s="15" t="str"/>
      <x:c r="G29" s="15" t="str"/>
      <x:c r="H29" s="18"/>
      <x:c r="I29" s="2" t="str">
        <x:v>dfd8a0</x:v>
      </x:c>
      <x:c r="J29" s="2" t="str">
        <x:v>Snacks</x:v>
      </x:c>
      <x:c r="K29" s="15" t="str">
        <x:v>No complete positive C/P/F found in global presets or any weekly rotation.</x:v>
      </x:c>
      <x:c r="L29" s="15" t="str"/>
      <x:c r="M29" s="2" t="str">
        <x:v>66488c3757eeb372ece6f70a</x:v>
      </x:c>
      <x:c r="N29" s="19" t="n">
        <x:v>60</x:v>
      </x:c>
      <x:c r="O29" s="2" t="str">
        <x:v>Piece</x:v>
      </x:c>
    </x:row>
    <x:row r="30" ht="44" customHeight="1">
      <x:c r="A30" s="15" t="str">
        <x:v>Honey Joys</x:v>
      </x:c>
      <x:c r="B30" s="15" t="str">
        <x:v>All-zero macros</x:v>
      </x:c>
      <x:c r="C30" s="17" t="n">
        <x:v>0</x:v>
      </x:c>
      <x:c r="D30" s="17" t="n">
        <x:v>0</x:v>
      </x:c>
      <x:c r="E30" s="17" t="n">
        <x:v>0</x:v>
      </x:c>
      <x:c r="F30" s="15" t="str">
        <x:v>HONEY JOYS</x:v>
      </x:c>
      <x:c r="G30" s="15" t="str">
        <x:v>Weekly rotation</x:v>
      </x:c>
      <x:c r="H30" s="18" t="d">
        <x:v>2026-10-23T00:00:00.000Z</x:v>
      </x:c>
      <x:c r="I30" s="2" t="str">
        <x:v>e9e6e6</x:v>
      </x:c>
      <x:c r="J30" s="2" t="str">
        <x:v>Snacks</x:v>
      </x:c>
      <x:c r="K30" s="15" t="str">
        <x:v>Name exists internally but all stored C/P/F values are zero. Values need completion.</x:v>
      </x:c>
      <x:c r="L30" s="15" t="str">
        <x:v>Weekly menus from Mon 19 Oct to Sunday 25 Oct / 2026-10-23 / first</x:v>
      </x:c>
      <x:c r="M30" s="2" t="str">
        <x:v>6741b4601ce98d112cb29c2c</x:v>
      </x:c>
      <x:c r="N30" s="19" t="n">
        <x:v>40</x:v>
      </x:c>
      <x:c r="O30" s="2" t="str">
        <x:v>Piece</x:v>
      </x:c>
    </x:row>
    <x:row r="31" ht="44" customHeight="1">
      <x:c r="A31" s="15" t="str">
        <x:v>Lemon Chia Seed Biscuit</x:v>
      </x:c>
      <x:c r="B31" s="15" t="str">
        <x:v>No macros found</x:v>
      </x:c>
      <x:c r="C31" s="17"/>
      <x:c r="D31" s="17"/>
      <x:c r="E31" s="17"/>
      <x:c r="F31" s="15" t="str"/>
      <x:c r="G31" s="15" t="str"/>
      <x:c r="H31" s="18"/>
      <x:c r="I31" s="2" t="str">
        <x:v>7e3b25</x:v>
      </x:c>
      <x:c r="J31" s="2" t="str">
        <x:v>Snacks</x:v>
      </x:c>
      <x:c r="K31" s="15" t="str">
        <x:v>No complete positive C/P/F found in global presets or any weekly rotation.</x:v>
      </x:c>
      <x:c r="L31" s="15" t="str"/>
      <x:c r="M31" s="2" t="str">
        <x:v>66bcb06a2320dc6bc957f59d</x:v>
      </x:c>
      <x:c r="N31" s="19" t="n">
        <x:v>72</x:v>
      </x:c>
      <x:c r="O31" s="2" t="str">
        <x:v>Piece</x:v>
      </x:c>
    </x:row>
    <x:row r="32" ht="44" customHeight="1">
      <x:c r="A32" s="15" t="str">
        <x:v>Lemon Pound Muffins</x:v>
      </x:c>
      <x:c r="B32" s="15" t="str">
        <x:v>No macros found</x:v>
      </x:c>
      <x:c r="C32" s="17"/>
      <x:c r="D32" s="17"/>
      <x:c r="E32" s="17"/>
      <x:c r="F32" s="15" t="str"/>
      <x:c r="G32" s="15" t="str"/>
      <x:c r="H32" s="18"/>
      <x:c r="I32" s="2" t="str">
        <x:v>8831ab</x:v>
      </x:c>
      <x:c r="J32" s="2" t="str">
        <x:v>Snacks</x:v>
      </x:c>
      <x:c r="K32" s="15" t="str">
        <x:v>No complete positive C/P/F found in global presets or any weekly rotation.</x:v>
      </x:c>
      <x:c r="L32" s="15" t="str"/>
      <x:c r="M32" s="2" t="str">
        <x:v>689dcd01de655e5c92c2aad1</x:v>
      </x:c>
      <x:c r="N32" s="19" t="n">
        <x:v>36</x:v>
      </x:c>
      <x:c r="O32" s="2" t="str">
        <x:v>Piece</x:v>
      </x:c>
    </x:row>
    <x:row r="33" ht="44" customHeight="1">
      <x:c r="A33" s="15" t="str">
        <x:v>Lemon Square</x:v>
      </x:c>
      <x:c r="B33" s="15" t="str">
        <x:v>No macros found</x:v>
      </x:c>
      <x:c r="C33" s="17"/>
      <x:c r="D33" s="17"/>
      <x:c r="E33" s="17"/>
      <x:c r="F33" s="15" t="str"/>
      <x:c r="G33" s="15" t="str"/>
      <x:c r="H33" s="18"/>
      <x:c r="I33" s="2" t="str">
        <x:v>411545</x:v>
      </x:c>
      <x:c r="J33" s="2" t="str">
        <x:v>Snacks</x:v>
      </x:c>
      <x:c r="K33" s="15" t="str">
        <x:v>No complete positive C/P/F found in global presets or any weekly rotation.</x:v>
      </x:c>
      <x:c r="L33" s="15" t="str"/>
      <x:c r="M33" s="2" t="str">
        <x:v>664303e7081a9ff4fc5685f4</x:v>
      </x:c>
      <x:c r="N33" s="19" t="n">
        <x:v>46</x:v>
      </x:c>
      <x:c r="O33" s="2" t="str">
        <x:v>Piece</x:v>
      </x:c>
    </x:row>
    <x:row r="34" ht="44" customHeight="1">
      <x:c r="A34" s="15" t="str">
        <x:v>Mango Coconut Muffins</x:v>
      </x:c>
      <x:c r="B34" s="15" t="str">
        <x:v>All-zero macros</x:v>
      </x:c>
      <x:c r="C34" s="17" t="n">
        <x:v>0</x:v>
      </x:c>
      <x:c r="D34" s="17" t="n">
        <x:v>0</x:v>
      </x:c>
      <x:c r="E34" s="17" t="n">
        <x:v>0</x:v>
      </x:c>
      <x:c r="F34" s="15" t="str">
        <x:v>MANGO COCONUT MUFFINS</x:v>
      </x:c>
      <x:c r="G34" s="15" t="str">
        <x:v>Weekly rotation</x:v>
      </x:c>
      <x:c r="H34" s="18" t="d">
        <x:v>2026-10-29T00:00:00.000Z</x:v>
      </x:c>
      <x:c r="I34" s="2" t="str">
        <x:v>18a247</x:v>
      </x:c>
      <x:c r="J34" s="2" t="str">
        <x:v>Snacks</x:v>
      </x:c>
      <x:c r="K34" s="15" t="str">
        <x:v>Name exists internally but all stored C/P/F values are zero. Values need completion.</x:v>
      </x:c>
      <x:c r="L34" s="15" t="str">
        <x:v>Weekly menus from Mon 26 oct to Sunday 1 Nov / 2026-10-29 / second</x:v>
      </x:c>
      <x:c r="M34" s="2" t="str">
        <x:v>663b8667a1a69004929dc976</x:v>
      </x:c>
      <x:c r="N34" s="19" t="n">
        <x:v>48</x:v>
      </x:c>
      <x:c r="O34" s="2" t="str">
        <x:v>Piece</x:v>
      </x:c>
    </x:row>
    <x:row r="35" ht="44" customHeight="1">
      <x:c r="A35" s="15" t="str">
        <x:v>Matter Signature Pudding</x:v>
      </x:c>
      <x:c r="B35" s="15" t="str">
        <x:v>No macros found</x:v>
      </x:c>
      <x:c r="C35" s="17"/>
      <x:c r="D35" s="17"/>
      <x:c r="E35" s="17"/>
      <x:c r="F35" s="15" t="str"/>
      <x:c r="G35" s="15" t="str"/>
      <x:c r="H35" s="18"/>
      <x:c r="I35" s="2" t="str">
        <x:v>c1aa42</x:v>
      </x:c>
      <x:c r="J35" s="2" t="str">
        <x:v>Snacks</x:v>
      </x:c>
      <x:c r="K35" s="15" t="str">
        <x:v>No complete positive C/P/F found in global presets or any weekly rotation.</x:v>
      </x:c>
      <x:c r="L35" s="15" t="str"/>
      <x:c r="M35" s="2" t="str">
        <x:v>663ccf36f56dc2f9188ef3ba</x:v>
      </x:c>
      <x:c r="N35" s="19" t="n">
        <x:v>23</x:v>
      </x:c>
      <x:c r="O35" s="2" t="str">
        <x:v>Piece</x:v>
      </x:c>
    </x:row>
    <x:row r="36" ht="44" customHeight="1">
      <x:c r="A36" s="15" t="str">
        <x:v>Mix Berry Bar</x:v>
      </x:c>
      <x:c r="B36" s="15" t="str">
        <x:v>All-zero macros</x:v>
      </x:c>
      <x:c r="C36" s="17" t="n">
        <x:v>0</x:v>
      </x:c>
      <x:c r="D36" s="17" t="n">
        <x:v>0</x:v>
      </x:c>
      <x:c r="E36" s="17" t="n">
        <x:v>0</x:v>
      </x:c>
      <x:c r="F36" s="15" t="str">
        <x:v>MIX BERRY BAR</x:v>
      </x:c>
      <x:c r="G36" s="15" t="str">
        <x:v>Weekly rotation</x:v>
      </x:c>
      <x:c r="H36" s="18" t="d">
        <x:v>2026-10-29T00:00:00.000Z</x:v>
      </x:c>
      <x:c r="I36" s="2" t="str">
        <x:v>526b0e</x:v>
      </x:c>
      <x:c r="J36" s="2" t="str">
        <x:v>Snacks</x:v>
      </x:c>
      <x:c r="K36" s="15" t="str">
        <x:v>Name exists internally but all stored C/P/F values are zero. Values need completion.</x:v>
      </x:c>
      <x:c r="L36" s="15" t="str">
        <x:v>Weekly menus from Mon 26 oct to Sunday 1 Nov / 2026-10-29 / first</x:v>
      </x:c>
      <x:c r="M36" s="2" t="str">
        <x:v>663cc658f56dc2f9188ee093</x:v>
      </x:c>
      <x:c r="N36" s="19" t="n">
        <x:v>46</x:v>
      </x:c>
      <x:c r="O36" s="2" t="str">
        <x:v>Piece</x:v>
      </x:c>
    </x:row>
    <x:row r="37" ht="44" customHeight="1">
      <x:c r="A37" s="15" t="str">
        <x:v>Mix Berry Cookies</x:v>
      </x:c>
      <x:c r="B37" s="15" t="str">
        <x:v>All-zero macros</x:v>
      </x:c>
      <x:c r="C37" s="17" t="n">
        <x:v>0</x:v>
      </x:c>
      <x:c r="D37" s="17" t="n">
        <x:v>0</x:v>
      </x:c>
      <x:c r="E37" s="17" t="n">
        <x:v>0</x:v>
      </x:c>
      <x:c r="F37" s="15" t="str">
        <x:v>MIX BERRY COOKIES</x:v>
      </x:c>
      <x:c r="G37" s="15" t="str">
        <x:v>Weekly rotation</x:v>
      </x:c>
      <x:c r="H37" s="18" t="d">
        <x:v>2026-10-13T00:00:00.000Z</x:v>
      </x:c>
      <x:c r="I37" s="2" t="str">
        <x:v>82e39f</x:v>
      </x:c>
      <x:c r="J37" s="2" t="str">
        <x:v>Snacks</x:v>
      </x:c>
      <x:c r="K37" s="15" t="str">
        <x:v>Name exists internally but all stored C/P/F values are zero. Values need completion.</x:v>
      </x:c>
      <x:c r="L37" s="15" t="str">
        <x:v>Weekly menus from mon 12 to sunday 18 / 2026-10-13 / second</x:v>
      </x:c>
      <x:c r="M37" s="2" t="str">
        <x:v>6a27e19bd1a9d69d48aabbc6</x:v>
      </x:c>
      <x:c r="N37" s="19" t="n">
        <x:v>60</x:v>
      </x:c>
      <x:c r="O37" s="2" t="str">
        <x:v>Piece</x:v>
      </x:c>
    </x:row>
    <x:row r="38" ht="44" customHeight="1">
      <x:c r="A38" s="15" t="str">
        <x:v>Mix Berry Muffins</x:v>
      </x:c>
      <x:c r="B38" s="15" t="str">
        <x:v>No macros found</x:v>
      </x:c>
      <x:c r="C38" s="17"/>
      <x:c r="D38" s="17"/>
      <x:c r="E38" s="17"/>
      <x:c r="F38" s="15" t="str"/>
      <x:c r="G38" s="15" t="str"/>
      <x:c r="H38" s="18"/>
      <x:c r="I38" s="2" t="str">
        <x:v>c19a96</x:v>
      </x:c>
      <x:c r="J38" s="2" t="str">
        <x:v>Snacks</x:v>
      </x:c>
      <x:c r="K38" s="15" t="str">
        <x:v>No complete positive C/P/F found in global presets or any weekly rotation.</x:v>
      </x:c>
      <x:c r="L38" s="15" t="str"/>
      <x:c r="M38" s="2" t="str">
        <x:v>667138772de1846ccdece833</x:v>
      </x:c>
      <x:c r="N38" s="19" t="n">
        <x:v>46</x:v>
      </x:c>
      <x:c r="O38" s="2" t="str">
        <x:v>Piece</x:v>
      </x:c>
    </x:row>
    <x:row r="39" ht="44" customHeight="1">
      <x:c r="A39" s="15" t="str">
        <x:v>Nutty Brownies</x:v>
      </x:c>
      <x:c r="B39" s="15" t="str">
        <x:v>No macros found</x:v>
      </x:c>
      <x:c r="C39" s="17"/>
      <x:c r="D39" s="17"/>
      <x:c r="E39" s="17"/>
      <x:c r="F39" s="15" t="str"/>
      <x:c r="G39" s="15" t="str"/>
      <x:c r="H39" s="18"/>
      <x:c r="I39" s="2" t="str">
        <x:v>1708ee</x:v>
      </x:c>
      <x:c r="J39" s="2" t="str">
        <x:v>Snacks</x:v>
      </x:c>
      <x:c r="K39" s="15" t="str">
        <x:v>No complete positive C/P/F found in global presets or any weekly rotation.</x:v>
      </x:c>
      <x:c r="L39" s="15" t="str"/>
      <x:c r="M39" s="2" t="str">
        <x:v>663cbedd81c1c6f66696125c</x:v>
      </x:c>
      <x:c r="N39" s="19" t="n">
        <x:v>23</x:v>
      </x:c>
      <x:c r="O39" s="2" t="str">
        <x:v>Piece</x:v>
      </x:c>
    </x:row>
    <x:row r="40" ht="44" customHeight="1">
      <x:c r="A40" s="15" t="str">
        <x:v>Orange Scented Maple Energy Gel</x:v>
      </x:c>
      <x:c r="B40" s="15" t="str">
        <x:v>No macros found</x:v>
      </x:c>
      <x:c r="C40" s="17"/>
      <x:c r="D40" s="17"/>
      <x:c r="E40" s="17"/>
      <x:c r="F40" s="15" t="str"/>
      <x:c r="G40" s="15" t="str"/>
      <x:c r="H40" s="18"/>
      <x:c r="I40" s="2" t="str">
        <x:v>c60587</x:v>
      </x:c>
      <x:c r="J40" s="2" t="str">
        <x:v>Snacks</x:v>
      </x:c>
      <x:c r="K40" s="15" t="str">
        <x:v>No complete positive C/P/F found in global presets or any weekly rotation.</x:v>
      </x:c>
      <x:c r="L40" s="15" t="str"/>
      <x:c r="M40" s="2" t="str">
        <x:v>66a3848fa680434b22ca1eae</x:v>
      </x:c>
      <x:c r="N40" s="19" t="n">
        <x:v>120</x:v>
      </x:c>
      <x:c r="O40" s="2" t="str">
        <x:v>g</x:v>
      </x:c>
    </x:row>
    <x:row r="41" ht="44" customHeight="1">
      <x:c r="A41" s="15" t="str">
        <x:v>Orange Spice Bar</x:v>
      </x:c>
      <x:c r="B41" s="15" t="str">
        <x:v>No macros found</x:v>
      </x:c>
      <x:c r="C41" s="17"/>
      <x:c r="D41" s="17"/>
      <x:c r="E41" s="17"/>
      <x:c r="F41" s="15" t="str"/>
      <x:c r="G41" s="15" t="str"/>
      <x:c r="H41" s="18"/>
      <x:c r="I41" s="2" t="str">
        <x:v>914e37</x:v>
      </x:c>
      <x:c r="J41" s="2" t="str">
        <x:v>Snacks</x:v>
      </x:c>
      <x:c r="K41" s="15" t="str">
        <x:v>No complete positive C/P/F found in global presets or any weekly rotation.</x:v>
      </x:c>
      <x:c r="L41" s="15" t="str"/>
      <x:c r="M41" s="2" t="str">
        <x:v>663cc5b381c1c6f666961dd0</x:v>
      </x:c>
      <x:c r="N41" s="19" t="n">
        <x:v>69</x:v>
      </x:c>
      <x:c r="O41" s="2" t="str">
        <x:v>Piece</x:v>
      </x:c>
    </x:row>
    <x:row r="42" ht="44" customHeight="1">
      <x:c r="A42" s="15" t="str">
        <x:v>Oreo Cheese Cake</x:v>
      </x:c>
      <x:c r="B42" s="15" t="str">
        <x:v>No macros found</x:v>
      </x:c>
      <x:c r="C42" s="17"/>
      <x:c r="D42" s="17"/>
      <x:c r="E42" s="17"/>
      <x:c r="F42" s="15" t="str"/>
      <x:c r="G42" s="15" t="str"/>
      <x:c r="H42" s="18"/>
      <x:c r="I42" s="2" t="str">
        <x:v>82d8cd</x:v>
      </x:c>
      <x:c r="J42" s="2" t="str">
        <x:v>Snacks</x:v>
      </x:c>
      <x:c r="K42" s="15" t="str">
        <x:v>No complete positive C/P/F found in global presets or any weekly rotation.</x:v>
      </x:c>
      <x:c r="L42" s="15" t="str"/>
      <x:c r="M42" s="2" t="str">
        <x:v>683eb89b47727c75a8046b42</x:v>
      </x:c>
      <x:c r="N42" s="19" t="n">
        <x:v>23</x:v>
      </x:c>
      <x:c r="O42" s="2" t="str">
        <x:v>Piece</x:v>
      </x:c>
    </x:row>
    <x:row r="43" ht="44" customHeight="1">
      <x:c r="A43" s="15" t="str">
        <x:v>Peanut Butter Bar</x:v>
      </x:c>
      <x:c r="B43" s="15" t="str">
        <x:v>All-zero macros</x:v>
      </x:c>
      <x:c r="C43" s="17" t="n">
        <x:v>0</x:v>
      </x:c>
      <x:c r="D43" s="17" t="n">
        <x:v>0</x:v>
      </x:c>
      <x:c r="E43" s="17" t="n">
        <x:v>0</x:v>
      </x:c>
      <x:c r="F43" s="15" t="str">
        <x:v>PEANUT BUTTER BAR</x:v>
      </x:c>
      <x:c r="G43" s="15" t="str">
        <x:v>Weekly rotation</x:v>
      </x:c>
      <x:c r="H43" s="18" t="d">
        <x:v>2026-10-30T00:00:00.000Z</x:v>
      </x:c>
      <x:c r="I43" s="2" t="str">
        <x:v>9e54a9</x:v>
      </x:c>
      <x:c r="J43" s="2" t="str">
        <x:v>Snacks</x:v>
      </x:c>
      <x:c r="K43" s="15" t="str">
        <x:v>Name exists internally but all stored C/P/F values are zero. Values need completion.</x:v>
      </x:c>
      <x:c r="L43" s="15" t="str">
        <x:v>Weekly menus from Mon 26 oct to Sunday 1 Nov / 2026-10-30 / second</x:v>
      </x:c>
      <x:c r="M43" s="2" t="str">
        <x:v>665487c37945e52d3866f503</x:v>
      </x:c>
      <x:c r="N43" s="19" t="n">
        <x:v>46</x:v>
      </x:c>
      <x:c r="O43" s="2" t="str">
        <x:v>Piece</x:v>
      </x:c>
    </x:row>
    <x:row r="44" ht="44" customHeight="1">
      <x:c r="A44" s="15" t="str">
        <x:v>Pineapple Bar</x:v>
      </x:c>
      <x:c r="B44" s="15" t="str">
        <x:v>No macros found</x:v>
      </x:c>
      <x:c r="C44" s="17"/>
      <x:c r="D44" s="17"/>
      <x:c r="E44" s="17"/>
      <x:c r="F44" s="15" t="str"/>
      <x:c r="G44" s="15" t="str"/>
      <x:c r="H44" s="18"/>
      <x:c r="I44" s="2" t="str">
        <x:v>21cd77</x:v>
      </x:c>
      <x:c r="J44" s="2" t="str">
        <x:v>Snacks</x:v>
      </x:c>
      <x:c r="K44" s="15" t="str">
        <x:v>No complete positive C/P/F found in global presets or any weekly rotation.</x:v>
      </x:c>
      <x:c r="L44" s="15" t="str"/>
      <x:c r="M44" s="2" t="str">
        <x:v>665734cf39b140bd17ce003d</x:v>
      </x:c>
      <x:c r="N44" s="19" t="n">
        <x:v>69</x:v>
      </x:c>
      <x:c r="O44" s="2" t="str">
        <x:v>Piece</x:v>
      </x:c>
    </x:row>
    <x:row r="45" ht="44" customHeight="1">
      <x:c r="A45" s="15" t="str">
        <x:v>Power Date</x:v>
      </x:c>
      <x:c r="B45" s="15" t="str">
        <x:v>No macros found</x:v>
      </x:c>
      <x:c r="C45" s="17"/>
      <x:c r="D45" s="17"/>
      <x:c r="E45" s="17"/>
      <x:c r="F45" s="15" t="str"/>
      <x:c r="G45" s="15" t="str"/>
      <x:c r="H45" s="18"/>
      <x:c r="I45" s="2" t="str">
        <x:v>863882</x:v>
      </x:c>
      <x:c r="J45" s="2" t="str">
        <x:v>Snacks</x:v>
      </x:c>
      <x:c r="K45" s="15" t="str">
        <x:v>No complete positive C/P/F found in global presets or any weekly rotation.</x:v>
      </x:c>
      <x:c r="L45" s="15" t="str"/>
      <x:c r="M45" s="2" t="str">
        <x:v>6aa0070cd8d86f623f25dcac</x:v>
      </x:c>
      <x:c r="N45" s="19" t="n">
        <x:v>6.7</x:v>
      </x:c>
      <x:c r="O45" s="2" t="str">
        <x:v>Piece</x:v>
      </x:c>
    </x:row>
    <x:row r="46" ht="44" customHeight="1">
      <x:c r="A46" s="15" t="str">
        <x:v>Protein Cookie Dough</x:v>
      </x:c>
      <x:c r="B46" s="15" t="str">
        <x:v>No macros found</x:v>
      </x:c>
      <x:c r="C46" s="17"/>
      <x:c r="D46" s="17"/>
      <x:c r="E46" s="17"/>
      <x:c r="F46" s="15" t="str"/>
      <x:c r="G46" s="15" t="str"/>
      <x:c r="H46" s="18"/>
      <x:c r="I46" s="2" t="str">
        <x:v>e0842c</x:v>
      </x:c>
      <x:c r="J46" s="2" t="str">
        <x:v>Snacks</x:v>
      </x:c>
      <x:c r="K46" s="15" t="str">
        <x:v>No complete positive C/P/F found in global presets or any weekly rotation.</x:v>
      </x:c>
      <x:c r="L46" s="15" t="str"/>
      <x:c r="M46" s="2" t="str">
        <x:v>6ab8a84f506a9cc99106051b</x:v>
      </x:c>
      <x:c r="N46" s="19" t="n">
        <x:v>6</x:v>
      </x:c>
      <x:c r="O46" s="2" t="str">
        <x:v>Piece</x:v>
      </x:c>
    </x:row>
    <x:row r="47" ht="44" customHeight="1">
      <x:c r="A47" s="15" t="str">
        <x:v>Pumpkin Bar</x:v>
      </x:c>
      <x:c r="B47" s="15" t="str">
        <x:v>No macros found</x:v>
      </x:c>
      <x:c r="C47" s="17"/>
      <x:c r="D47" s="17"/>
      <x:c r="E47" s="17"/>
      <x:c r="F47" s="15" t="str"/>
      <x:c r="G47" s="15" t="str"/>
      <x:c r="H47" s="18"/>
      <x:c r="I47" s="2" t="str">
        <x:v>1e4ec3</x:v>
      </x:c>
      <x:c r="J47" s="2" t="str">
        <x:v>Snacks</x:v>
      </x:c>
      <x:c r="K47" s="15" t="str">
        <x:v>No complete positive C/P/F found in global presets or any weekly rotation.</x:v>
      </x:c>
      <x:c r="L47" s="15" t="str"/>
      <x:c r="M47" s="2" t="str">
        <x:v>66422e9f9ff53c7315abd1ba</x:v>
      </x:c>
      <x:c r="N47" s="19" t="n">
        <x:v>46</x:v>
      </x:c>
      <x:c r="O47" s="2" t="str">
        <x:v>Piece</x:v>
      </x:c>
    </x:row>
    <x:row r="48" ht="44" customHeight="1">
      <x:c r="A48" s="15" t="str">
        <x:v>Pumpkin Muffins</x:v>
      </x:c>
      <x:c r="B48" s="15" t="str">
        <x:v>No macros found</x:v>
      </x:c>
      <x:c r="C48" s="17"/>
      <x:c r="D48" s="17"/>
      <x:c r="E48" s="17"/>
      <x:c r="F48" s="15" t="str"/>
      <x:c r="G48" s="15" t="str"/>
      <x:c r="H48" s="18"/>
      <x:c r="I48" s="2" t="str">
        <x:v>22741a</x:v>
      </x:c>
      <x:c r="J48" s="2" t="str">
        <x:v>Snacks</x:v>
      </x:c>
      <x:c r="K48" s="15" t="str">
        <x:v>No complete positive C/P/F found in global presets or any weekly rotation.</x:v>
      </x:c>
      <x:c r="L48" s="15" t="str"/>
      <x:c r="M48" s="2" t="str">
        <x:v>668ea236bad316b25005caa4</x:v>
      </x:c>
      <x:c r="N48" s="19" t="n">
        <x:v>72</x:v>
      </x:c>
      <x:c r="O48" s="2" t="str">
        <x:v>Piece</x:v>
      </x:c>
    </x:row>
    <x:row r="49" ht="44" customHeight="1">
      <x:c r="A49" s="15" t="str">
        <x:v>Raspberry Bar</x:v>
      </x:c>
      <x:c r="B49" s="15" t="str">
        <x:v>All-zero macros</x:v>
      </x:c>
      <x:c r="C49" s="17" t="n">
        <x:v>0</x:v>
      </x:c>
      <x:c r="D49" s="17" t="n">
        <x:v>0</x:v>
      </x:c>
      <x:c r="E49" s="17" t="n">
        <x:v>0</x:v>
      </x:c>
      <x:c r="F49" s="15" t="str">
        <x:v>RASPBERRY BAR</x:v>
      </x:c>
      <x:c r="G49" s="15" t="str">
        <x:v>Weekly rotation</x:v>
      </x:c>
      <x:c r="H49" s="18" t="d">
        <x:v>2026-09-23T00:00:00.000Z</x:v>
      </x:c>
      <x:c r="I49" s="2" t="str">
        <x:v>af2d29</x:v>
      </x:c>
      <x:c r="J49" s="2" t="str">
        <x:v>Snacks</x:v>
      </x:c>
      <x:c r="K49" s="15" t="str">
        <x:v>Name exists internally but all stored C/P/F values are zero. Values need completion.</x:v>
      </x:c>
      <x:c r="L49" s="15" t="str">
        <x:v>Weekly Menus from Mon 21 to Sunday 27 / 2026-09-23 / first</x:v>
      </x:c>
      <x:c r="M49" s="2" t="str">
        <x:v>664230459ff53c7315abd238</x:v>
      </x:c>
      <x:c r="N49" s="19" t="n">
        <x:v>46</x:v>
      </x:c>
      <x:c r="O49" s="2" t="str">
        <x:v>Piece</x:v>
      </x:c>
    </x:row>
    <x:row r="50" ht="44" customHeight="1">
      <x:c r="A50" s="15" t="str">
        <x:v>Raspberry Cheesecake Truffle Oat Ball</x:v>
      </x:c>
      <x:c r="B50" s="15" t="str">
        <x:v>No macros found</x:v>
      </x:c>
      <x:c r="C50" s="17"/>
      <x:c r="D50" s="17"/>
      <x:c r="E50" s="17"/>
      <x:c r="F50" s="15" t="str"/>
      <x:c r="G50" s="15" t="str"/>
      <x:c r="H50" s="18"/>
      <x:c r="I50" s="2" t="str">
        <x:v>e6ca43</x:v>
      </x:c>
      <x:c r="J50" s="2" t="str">
        <x:v>Snacks</x:v>
      </x:c>
      <x:c r="K50" s="15" t="str">
        <x:v>No complete positive C/P/F found in global presets or any weekly rotation.</x:v>
      </x:c>
      <x:c r="L50" s="15" t="str"/>
      <x:c r="M50" s="2" t="str">
        <x:v>66422a216e2be5b72e082654</x:v>
      </x:c>
      <x:c r="N50" s="19" t="n">
        <x:v>70</x:v>
      </x:c>
      <x:c r="O50" s="2" t="str">
        <x:v>Piece</x:v>
      </x:c>
    </x:row>
    <x:row r="51" ht="44" customHeight="1">
      <x:c r="A51" s="15" t="str">
        <x:v>Raspberry Swirl Bar</x:v>
      </x:c>
      <x:c r="B51" s="15" t="str">
        <x:v>No macros found</x:v>
      </x:c>
      <x:c r="C51" s="17"/>
      <x:c r="D51" s="17"/>
      <x:c r="E51" s="17"/>
      <x:c r="F51" s="15" t="str"/>
      <x:c r="G51" s="15" t="str"/>
      <x:c r="H51" s="18"/>
      <x:c r="I51" s="2" t="str">
        <x:v>d161bb</x:v>
      </x:c>
      <x:c r="J51" s="2" t="str">
        <x:v>Snacks</x:v>
      </x:c>
      <x:c r="K51" s="15" t="str">
        <x:v>No complete positive C/P/F found in global presets or any weekly rotation.</x:v>
      </x:c>
      <x:c r="L51" s="15" t="str"/>
      <x:c r="M51" s="2" t="str">
        <x:v>6a254b2abeae247b5e42735f</x:v>
      </x:c>
      <x:c r="N51" s="19" t="n">
        <x:v>69</x:v>
      </x:c>
      <x:c r="O51" s="2" t="str">
        <x:v>Piece</x:v>
      </x:c>
    </x:row>
    <x:row r="52" ht="44" customHeight="1">
      <x:c r="A52" s="15" t="str">
        <x:v>Raspberry Swirl Cake</x:v>
      </x:c>
      <x:c r="B52" s="15" t="str">
        <x:v>No macros found</x:v>
      </x:c>
      <x:c r="C52" s="17"/>
      <x:c r="D52" s="17"/>
      <x:c r="E52" s="17"/>
      <x:c r="F52" s="15" t="str"/>
      <x:c r="G52" s="15" t="str"/>
      <x:c r="H52" s="18"/>
      <x:c r="I52" s="2" t="str">
        <x:v>49e70e</x:v>
      </x:c>
      <x:c r="J52" s="2" t="str">
        <x:v>Snacks</x:v>
      </x:c>
      <x:c r="K52" s="15" t="str">
        <x:v>No complete positive C/P/F found in global presets or any weekly rotation.</x:v>
      </x:c>
      <x:c r="L52" s="15" t="str"/>
      <x:c r="M52" s="2" t="str">
        <x:v>664231bc6e2be5b72e0839aa</x:v>
      </x:c>
      <x:c r="N52" s="19" t="n">
        <x:v>69</x:v>
      </x:c>
      <x:c r="O52" s="2" t="str">
        <x:v>Piece</x:v>
      </x:c>
    </x:row>
    <x:row r="53" ht="44" customHeight="1">
      <x:c r="A53" s="15" t="str">
        <x:v>Rice Krispy Treat</x:v>
      </x:c>
      <x:c r="B53" s="15" t="str">
        <x:v>No macros found</x:v>
      </x:c>
      <x:c r="C53" s="17"/>
      <x:c r="D53" s="17"/>
      <x:c r="E53" s="17"/>
      <x:c r="F53" s="15" t="str"/>
      <x:c r="G53" s="15" t="str"/>
      <x:c r="H53" s="18"/>
      <x:c r="I53" s="2" t="str">
        <x:v>0897c0</x:v>
      </x:c>
      <x:c r="J53" s="2" t="str">
        <x:v>Snacks</x:v>
      </x:c>
      <x:c r="K53" s="15" t="str">
        <x:v>No complete positive C/P/F found in global presets or any weekly rotation.</x:v>
      </x:c>
      <x:c r="L53" s="15" t="str"/>
      <x:c r="M53" s="2" t="str">
        <x:v>698a0ecc72d5a9e00bc32497</x:v>
      </x:c>
      <x:c r="N53" s="19" t="n">
        <x:v>40</x:v>
      </x:c>
      <x:c r="O53" s="2" t="str">
        <x:v>Piece</x:v>
      </x:c>
    </x:row>
    <x:row r="54" ht="44" customHeight="1">
      <x:c r="A54" s="15" t="str">
        <x:v>Saffron Cheesecake</x:v>
      </x:c>
      <x:c r="B54" s="15" t="str">
        <x:v>All-zero macros</x:v>
      </x:c>
      <x:c r="C54" s="17" t="n">
        <x:v>0</x:v>
      </x:c>
      <x:c r="D54" s="17" t="n">
        <x:v>0</x:v>
      </x:c>
      <x:c r="E54" s="17" t="n">
        <x:v>0</x:v>
      </x:c>
      <x:c r="F54" s="15" t="str">
        <x:v>SAFFRON CHEESECAKE</x:v>
      </x:c>
      <x:c r="G54" s="15" t="str">
        <x:v>Weekly rotation</x:v>
      </x:c>
      <x:c r="H54" s="18" t="d">
        <x:v>2026-10-14T00:00:00.000Z</x:v>
      </x:c>
      <x:c r="I54" s="2" t="str">
        <x:v>1d72d2</x:v>
      </x:c>
      <x:c r="J54" s="2" t="str">
        <x:v>Snacks</x:v>
      </x:c>
      <x:c r="K54" s="15" t="str">
        <x:v>Name exists internally but all stored C/P/F values are zero. Values need completion.</x:v>
      </x:c>
      <x:c r="L54" s="15" t="str">
        <x:v>Weekly menus from mon 12 to sunday 18 / 2026-10-14 / second</x:v>
      </x:c>
      <x:c r="M54" s="2" t="str">
        <x:v>697f84240d8ad7373000b29c</x:v>
      </x:c>
      <x:c r="N54" s="19" t="n">
        <x:v>23</x:v>
      </x:c>
      <x:c r="O54" s="2" t="str">
        <x:v>Piece</x:v>
      </x:c>
    </x:row>
    <x:row r="55" ht="44" customHeight="1">
      <x:c r="A55" s="15" t="str">
        <x:v>Salted Apple Bar</x:v>
      </x:c>
      <x:c r="B55" s="15" t="str">
        <x:v>No macros found</x:v>
      </x:c>
      <x:c r="C55" s="17"/>
      <x:c r="D55" s="17"/>
      <x:c r="E55" s="17"/>
      <x:c r="F55" s="15" t="str"/>
      <x:c r="G55" s="15" t="str"/>
      <x:c r="H55" s="18"/>
      <x:c r="I55" s="2" t="str">
        <x:v>5af3ae</x:v>
      </x:c>
      <x:c r="J55" s="2" t="str">
        <x:v>Snacks</x:v>
      </x:c>
      <x:c r="K55" s="15" t="str">
        <x:v>No complete positive C/P/F found in global presets or any weekly rotation.</x:v>
      </x:c>
      <x:c r="L55" s="15" t="str"/>
      <x:c r="M55" s="2" t="str">
        <x:v>66422f356e2be5b72e0832ca</x:v>
      </x:c>
      <x:c r="N55" s="19" t="n">
        <x:v>46</x:v>
      </x:c>
      <x:c r="O55" s="2" t="str">
        <x:v>Piece</x:v>
      </x:c>
    </x:row>
    <x:row r="56" ht="44" customHeight="1">
      <x:c r="A56" s="15" t="str">
        <x:v>Salted Apple Cake</x:v>
      </x:c>
      <x:c r="B56" s="15" t="str">
        <x:v>No macros found</x:v>
      </x:c>
      <x:c r="C56" s="17"/>
      <x:c r="D56" s="17"/>
      <x:c r="E56" s="17"/>
      <x:c r="F56" s="15" t="str"/>
      <x:c r="G56" s="15" t="str"/>
      <x:c r="H56" s="18"/>
      <x:c r="I56" s="2" t="str">
        <x:v>6033de</x:v>
      </x:c>
      <x:c r="J56" s="2" t="str">
        <x:v>Snacks</x:v>
      </x:c>
      <x:c r="K56" s="15" t="str">
        <x:v>No complete positive C/P/F found in global presets or any weekly rotation.</x:v>
      </x:c>
      <x:c r="L56" s="15" t="str"/>
      <x:c r="M56" s="2" t="str">
        <x:v>6a6f28ed633e61666f0d26fd</x:v>
      </x:c>
      <x:c r="N56" s="19" t="n">
        <x:v>79</x:v>
      </x:c>
      <x:c r="O56" s="2" t="str">
        <x:v>Piece</x:v>
      </x:c>
    </x:row>
    <x:row r="57" ht="44" customHeight="1">
      <x:c r="A57" s="15" t="str">
        <x:v>Salted Apple Pancake</x:v>
      </x:c>
      <x:c r="B57" s="15" t="str">
        <x:v>No macros found</x:v>
      </x:c>
      <x:c r="C57" s="17"/>
      <x:c r="D57" s="17"/>
      <x:c r="E57" s="17"/>
      <x:c r="F57" s="15" t="str"/>
      <x:c r="G57" s="15" t="str"/>
      <x:c r="H57" s="18"/>
      <x:c r="I57" s="2" t="str">
        <x:v>8caff5</x:v>
      </x:c>
      <x:c r="J57" s="2" t="str">
        <x:v>Snacks</x:v>
      </x:c>
      <x:c r="K57" s="15" t="str">
        <x:v>No complete positive C/P/F found in global presets or any weekly rotation.</x:v>
      </x:c>
      <x:c r="L57" s="15" t="str"/>
      <x:c r="M57" s="2" t="str">
        <x:v>667134daa70dd5e657b6d20f</x:v>
      </x:c>
      <x:c r="N57" s="19" t="n">
        <x:v>79</x:v>
      </x:c>
      <x:c r="O57" s="2" t="str">
        <x:v>Piece</x:v>
      </x:c>
    </x:row>
    <x:row r="58" ht="44" customHeight="1">
      <x:c r="A58" s="15" t="str">
        <x:v>Strawberry Date Gel</x:v>
      </x:c>
      <x:c r="B58" s="15" t="str">
        <x:v>No macros found</x:v>
      </x:c>
      <x:c r="C58" s="17"/>
      <x:c r="D58" s="17"/>
      <x:c r="E58" s="17"/>
      <x:c r="F58" s="15" t="str"/>
      <x:c r="G58" s="15" t="str"/>
      <x:c r="H58" s="18"/>
      <x:c r="I58" s="2" t="str">
        <x:v>203de1</x:v>
      </x:c>
      <x:c r="J58" s="2" t="str">
        <x:v>Snacks</x:v>
      </x:c>
      <x:c r="K58" s="15" t="str">
        <x:v>No complete positive C/P/F found in global presets or any weekly rotation.</x:v>
      </x:c>
      <x:c r="L58" s="15" t="str"/>
      <x:c r="M58" s="2" t="str">
        <x:v>66a381f6d2504e6cc2e896ab</x:v>
      </x:c>
      <x:c r="N58" s="19" t="n">
        <x:v>150</x:v>
      </x:c>
      <x:c r="O58" s="2" t="str">
        <x:v>g</x:v>
      </x:c>
    </x:row>
    <x:row r="59" ht="44" customHeight="1">
      <x:c r="A59" s="15" t="str">
        <x:v>Tahini Espresso Muffins</x:v>
      </x:c>
      <x:c r="B59" s="15" t="str">
        <x:v>No macros found</x:v>
      </x:c>
      <x:c r="C59" s="17"/>
      <x:c r="D59" s="17"/>
      <x:c r="E59" s="17"/>
      <x:c r="F59" s="15" t="str"/>
      <x:c r="G59" s="15" t="str"/>
      <x:c r="H59" s="18"/>
      <x:c r="I59" s="2" t="str">
        <x:v>9624ff</x:v>
      </x:c>
      <x:c r="J59" s="2" t="str">
        <x:v>Snacks</x:v>
      </x:c>
      <x:c r="K59" s="15" t="str">
        <x:v>No complete positive C/P/F found in global presets or any weekly rotation.</x:v>
      </x:c>
      <x:c r="L59" s="15" t="str"/>
      <x:c r="M59" s="2" t="str">
        <x:v>698a0b0a9f2dd12b71a58755</x:v>
      </x:c>
      <x:c r="N59" s="19" t="n">
        <x:v>6</x:v>
      </x:c>
      <x:c r="O59" s="2" t="str">
        <x:v>Piece</x:v>
      </x:c>
    </x:row>
    <x:row r="60" ht="44" customHeight="1">
      <x:c r="A60" s="15" t="str">
        <x:v>Vanilla Cookies</x:v>
      </x:c>
      <x:c r="B60" s="15" t="str">
        <x:v>All-zero macros</x:v>
      </x:c>
      <x:c r="C60" s="17" t="n">
        <x:v>0</x:v>
      </x:c>
      <x:c r="D60" s="17" t="n">
        <x:v>0</x:v>
      </x:c>
      <x:c r="E60" s="17" t="n">
        <x:v>0</x:v>
      </x:c>
      <x:c r="F60" s="15" t="str">
        <x:v>VANILLA COOKIES</x:v>
      </x:c>
      <x:c r="G60" s="15" t="str">
        <x:v>Weekly rotation</x:v>
      </x:c>
      <x:c r="H60" s="18" t="d">
        <x:v>2026-10-20T00:00:00.000Z</x:v>
      </x:c>
      <x:c r="I60" s="2" t="str">
        <x:v>53608a</x:v>
      </x:c>
      <x:c r="J60" s="2" t="str">
        <x:v>Snacks</x:v>
      </x:c>
      <x:c r="K60" s="15" t="str">
        <x:v>Name exists internally but all stored C/P/F values are zero. Values need completion.</x:v>
      </x:c>
      <x:c r="L60" s="15" t="str">
        <x:v>Weekly menus from Mon 19 Oct to Sunday 25 Oct / 2026-10-20 / second</x:v>
      </x:c>
      <x:c r="M60" s="2" t="str">
        <x:v>669677cb4e8397dc39cab2e8</x:v>
      </x:c>
      <x:c r="N60" s="19" t="n">
        <x:v>40</x:v>
      </x:c>
      <x:c r="O60" s="2" t="str">
        <x:v>Piece</x:v>
      </x:c>
    </x:row>
    <x:row r="61" ht="44" customHeight="1">
      <x:c r="A61" s="15" t="str">
        <x:v>White Peanut Butter Truffle</x:v>
      </x:c>
      <x:c r="B61" s="15" t="str">
        <x:v>No macros found</x:v>
      </x:c>
      <x:c r="C61" s="17"/>
      <x:c r="D61" s="17"/>
      <x:c r="E61" s="17"/>
      <x:c r="F61" s="15" t="str"/>
      <x:c r="G61" s="15" t="str"/>
      <x:c r="H61" s="18"/>
      <x:c r="I61" s="2" t="str">
        <x:v>f26ca6</x:v>
      </x:c>
      <x:c r="J61" s="2" t="str">
        <x:v>Snacks</x:v>
      </x:c>
      <x:c r="K61" s="15" t="str">
        <x:v>No complete positive C/P/F found in global presets or any weekly rotation.</x:v>
      </x:c>
      <x:c r="L61" s="15" t="str"/>
      <x:c r="M61" s="2" t="str">
        <x:v>663cb76cdfa45d33ea9eb6db</x:v>
      </x:c>
      <x:c r="N61" s="19" t="n">
        <x:v>70</x:v>
      </x:c>
      <x:c r="O61" s="2" t="str">
        <x:v>Piece</x:v>
      </x:c>
    </x:row>
  </x:sheetData>
  <x:conditionalFormatting sqref="B10:B61">
    <x:cfRule type="containsText" dxfId="4" priority="1" operator="containsText" text="Name mismatch"/>
    <x:cfRule type="containsText" dxfId="5" priority="2" operator="containsText" text="Historical"/>
    <x:cfRule type="containsText" dxfId="6" priority="3" operator="containsText" text="All-zero"/>
    <x:cfRule type="containsText" dxfId="7" priority="4" operator="containsText" text="No macros"/>
  </x:conditionalFormatting>
  <x:pageMargins left="0.7" right="0.7" top="0.75" bottom="0.75" header="0.3" footer="0.3"/>
  <x:tableParts count="1">
    <x:tablePart xmlns:r="http://schemas.openxmlformats.org/officeDocument/2006/relationships" r:id="R44bad78df0994a54"/>
  </x:tableParts>
</x:worksheet>
</file>

<file path=xl/worksheets/sheet3.xml><?xml version="1.0" encoding="utf-8"?>
<x:worksheet xmlns:x="http://schemas.openxmlformats.org/spreadsheetml/2006/main">
  <x:sheetPr>
    <x:tabColor rgb="FF64748B"/>
  </x:sheetPr>
  <x:sheetViews>
    <x:sheetView showGridLines="0" workbookViewId="0">
      <x:pane xSplit="1" ySplit="9" topLeftCell="B10" activePane="bottomRight" state="frozen"/>
    </x:sheetView>
  </x:sheetViews>
  <x:sheetFormatPr defaultRowHeight="15"/>
  <x:cols>
    <x:col min="1" max="1" width="38" hidden="0" customWidth="1"/>
    <x:col min="2" max="2" width="26" hidden="0" customWidth="1"/>
    <x:col min="3" max="3" width="12" hidden="0" customWidth="1"/>
    <x:col min="4" max="4" width="12" hidden="0" customWidth="1"/>
    <x:col min="5" max="5" width="11" hidden="0" customWidth="1"/>
    <x:col min="6" max="6" width="38" hidden="0" customWidth="1"/>
    <x:col min="7" max="7" width="25" hidden="0" customWidth="1"/>
    <x:col min="8" max="8" width="16" hidden="0" customWidth="1"/>
    <x:col min="9" max="9" width="14" hidden="0" customWidth="1"/>
    <x:col min="10" max="10" width="22" hidden="0" customWidth="1"/>
    <x:col min="11" max="11" width="68" hidden="0" customWidth="1"/>
    <x:col min="12" max="12" width="65" hidden="0" customWidth="1"/>
    <x:col min="13" max="13" width="28" hidden="0" customWidth="1"/>
    <x:col min="14" max="14" width="18" hidden="0" customWidth="1"/>
    <x:col min="15" max="15" width="1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0" customHeight="1">
      <x:c r="A2" s="4" t="str">
        <x:v>Related Supy recipes outside the Snacks category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4" customHeight="1">
      <x:c r="A3" s="7" t="str">
        <x:v>Source: available Supy recipes + internal MongoDB snack presets and weekly rotations. Extracted 26/10/2026, 14:45:08 Dubai.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</x:row>
    <x:row r="4" ht="24" customHeight="1">
      <x:c r="A4" s="7" t="str">
        <x:v>Complete macros = numeric C/P/F, with a positive total. All-zero entries need review. Name-variant candidates are not confirmed matches.</x:v>
      </x:c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</x:row>
    <x:row r="5" ht="24" customHeight="1">
      <x:c r="A5" s="7" t="str">
        <x:v>Weekly-rotation values may be divided by snack count; global presets are fixed per snack. No Supy serving conversion was applied.</x:v>
      </x:c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</x:row>
    <x:row r="6" ht="24" customHeight="1">
      <x:c r="A6" s="8" t="str">
        <x:v>Other recipes</x:v>
      </x:c>
      <x:c r="B6" s="9" t="n">
        <x:f>COUNTA(A10:A39)</x:f>
        <x:v>30</x:v>
      </x:c>
      <x:c r="C6" s="8"/>
      <x:c r="D6" s="8" t="str">
        <x:v>Global presets</x:v>
      </x:c>
      <x:c r="E6" s="9" t="n">
        <x:f>COUNTIFS(B10:B39,"Global preset")</x:f>
        <x:v>6</x:v>
      </x:c>
      <x:c r="F6" s="8"/>
      <x:c r="G6" s="8" t="str">
        <x:v>Historical only</x:v>
      </x:c>
      <x:c r="H6" s="9" t="n">
        <x:f>COUNTIFS(B10:B39,"Historical rotation only")</x:f>
        <x:v>15</x:v>
      </x:c>
      <x:c r="I6" s="8"/>
      <x:c r="J6" s="8" t="str">
        <x:v>Name review</x:v>
      </x:c>
      <x:c r="K6" s="9" t="n">
        <x:f>COUNTIFS(B10:B39,"Name mismatch - review")</x:f>
        <x:v>0</x:v>
      </x:c>
      <x:c r="L6" s="8"/>
      <x:c r="M6" s="8"/>
      <x:c r="N6" s="8"/>
      <x:c r="O6" s="8"/>
    </x:row>
    <x:row r="7" ht="24" customHeight="1">
      <x:c r="A7" s="10" t="str">
        <x:v>Additional recipes whose names match internal snacks. Includes uncategorized and duplicate-name recipes; excluded from the 66-Snacks comparison.</x:v>
      </x:c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</x:row>
    <x:row r="8" ht="24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</x:row>
    <x:row r="9" ht="38" customHeight="1">
      <x:c r="A9" s="14" t="str">
        <x:v>Supy snack</x:v>
      </x:c>
      <x:c r="B9" s="14" t="str">
        <x:v>Macro status</x:v>
      </x:c>
      <x:c r="C9" s="14" t="str">
        <x:v>Carbs (g)</x:v>
      </x:c>
      <x:c r="D9" s="14" t="str">
        <x:v>Protein (g)</x:v>
      </x:c>
      <x:c r="E9" s="14" t="str">
        <x:v>Fat (g)</x:v>
      </x:c>
      <x:c r="F9" s="14" t="str">
        <x:v>Internal snack name</x:v>
      </x:c>
      <x:c r="G9" s="14" t="str">
        <x:v>Macro source</x:v>
      </x:c>
      <x:c r="H9" s="14" t="str">
        <x:v>Record date</x:v>
      </x:c>
      <x:c r="I9" s="14" t="str">
        <x:v>Supy code</x:v>
      </x:c>
      <x:c r="J9" s="14" t="str">
        <x:v>Supy category</x:v>
      </x:c>
      <x:c r="K9" s="14" t="str">
        <x:v>Action / reason</x:v>
      </x:c>
      <x:c r="L9" s="14" t="str">
        <x:v>Internal source reference</x:v>
      </x:c>
      <x:c r="M9" s="14" t="str">
        <x:v>Supy recipe ID</x:v>
      </x:c>
      <x:c r="N9" s="14" t="str">
        <x:v>Supy portion quantity</x:v>
      </x:c>
      <x:c r="O9" s="14" t="str">
        <x:v>Supy unit</x:v>
      </x:c>
    </x:row>
    <x:row r="10" ht="44" customHeight="1">
      <x:c r="A10" s="15" t="str">
        <x:v>Blueberry Cookies</x:v>
      </x:c>
      <x:c r="B10" s="15" t="str">
        <x:v>Historical rotation only</x:v>
      </x:c>
      <x:c r="C10" s="17" t="n">
        <x:v>16</x:v>
      </x:c>
      <x:c r="D10" s="17" t="n">
        <x:v>12</x:v>
      </x:c>
      <x:c r="E10" s="17" t="n">
        <x:v>8</x:v>
      </x:c>
      <x:c r="F10" s="15" t="str">
        <x:v>BLUEBERRY COOKIES</x:v>
      </x:c>
      <x:c r="G10" s="15" t="str">
        <x:v>Weekly rotation</x:v>
      </x:c>
      <x:c r="H10" s="18" t="d">
        <x:v>2026-09-22T00:00:00.000Z</x:v>
      </x:c>
      <x:c r="I10" s="2" t="str">
        <x:v>7fb834</x:v>
      </x:c>
      <x:c r="J10" s="2" t="str">
        <x:v>(uncategorized)</x:v>
      </x:c>
      <x:c r="K10" s="15" t="str">
        <x:v>Non-zero values exist in an older weekly rotation. Latest menus may be zero; create a global preset after checking the basis.</x:v>
      </x:c>
      <x:c r="L10" s="15" t="str">
        <x:v>Weekly Menus from Mon 21 to Sunday 27 / 2026-09-22 / second</x:v>
      </x:c>
      <x:c r="M10" s="2" t="str">
        <x:v>68f646d3c68aeeff81718a0e</x:v>
      </x:c>
      <x:c r="N10" s="19" t="n">
        <x:v>1</x:v>
      </x:c>
      <x:c r="O10" s="2" t="str">
        <x:v>Piece</x:v>
      </x:c>
    </x:row>
    <x:row r="11" ht="44" customHeight="1">
      <x:c r="A11" s="15" t="str">
        <x:v>Carrot Cake Bar</x:v>
      </x:c>
      <x:c r="B11" s="15" t="str">
        <x:v>Historical rotation only</x:v>
      </x:c>
      <x:c r="C11" s="17" t="n">
        <x:v>16</x:v>
      </x:c>
      <x:c r="D11" s="17" t="n">
        <x:v>10</x:v>
      </x:c>
      <x:c r="E11" s="17" t="n">
        <x:v>7</x:v>
      </x:c>
      <x:c r="F11" s="15" t="str">
        <x:v>CARROT CAKE BAR</x:v>
      </x:c>
      <x:c r="G11" s="15" t="str">
        <x:v>Weekly rotation</x:v>
      </x:c>
      <x:c r="H11" s="18" t="d">
        <x:v>2026-09-25T00:00:00.000Z</x:v>
      </x:c>
      <x:c r="I11" s="2" t="str">
        <x:v>426041</x:v>
      </x:c>
      <x:c r="J11" s="2" t="str">
        <x:v>(uncategorized)</x:v>
      </x:c>
      <x:c r="K11" s="15" t="str">
        <x:v>Non-zero values exist in an older weekly rotation. Latest menus may be zero; create a global preset after checking the basis.</x:v>
      </x:c>
      <x:c r="L11" s="15" t="str">
        <x:v>Weekly Menus from Mon 21 to Sunday 27 / 2026-09-25 / second</x:v>
      </x:c>
      <x:c r="M11" s="2" t="str">
        <x:v>68f646d3c68aeeff817189ca</x:v>
      </x:c>
      <x:c r="N11" s="19" t="n">
        <x:v>1</x:v>
      </x:c>
      <x:c r="O11" s="2" t="str">
        <x:v>Piece</x:v>
      </x:c>
    </x:row>
    <x:row r="12" ht="44" customHeight="1">
      <x:c r="A12" s="15" t="str">
        <x:v>Carrot Cake Muffins</x:v>
      </x:c>
      <x:c r="B12" s="15" t="str">
        <x:v>Historical rotation only</x:v>
      </x:c>
      <x:c r="C12" s="17" t="n">
        <x:v>10</x:v>
      </x:c>
      <x:c r="D12" s="17" t="n">
        <x:v>12</x:v>
      </x:c>
      <x:c r="E12" s="17" t="n">
        <x:v>7</x:v>
      </x:c>
      <x:c r="F12" s="15" t="str">
        <x:v>CARROT CAKE MUFFINS</x:v>
      </x:c>
      <x:c r="G12" s="15" t="str">
        <x:v>Weekly rotation</x:v>
      </x:c>
      <x:c r="H12" s="18" t="d">
        <x:v>2026-09-30T00:00:00.000Z</x:v>
      </x:c>
      <x:c r="I12" s="2" t="str">
        <x:v>93e6aa</x:v>
      </x:c>
      <x:c r="J12" s="2" t="str">
        <x:v>(uncategorized)</x:v>
      </x:c>
      <x:c r="K12" s="15" t="str">
        <x:v>Non-zero values exist in an older weekly rotation. Latest menus may be zero; create a global preset after checking the basis.</x:v>
      </x:c>
      <x:c r="L12" s="15" t="str">
        <x:v>Weekly menus from mon 28 to sunday 4 / 2026-09-30 / second</x:v>
      </x:c>
      <x:c r="M12" s="2" t="str">
        <x:v>68f646d3c68aeeff81718b66</x:v>
      </x:c>
      <x:c r="N12" s="19" t="n">
        <x:v>1</x:v>
      </x:c>
      <x:c r="O12" s="2" t="str">
        <x:v>Piece</x:v>
      </x:c>
    </x:row>
    <x:row r="13" ht="44" customHeight="1">
      <x:c r="A13" s="15" t="str">
        <x:v>Choco Peanut Butter Truffle</x:v>
      </x:c>
      <x:c r="B13" s="15" t="str">
        <x:v>Global preset</x:v>
      </x:c>
      <x:c r="C13" s="17" t="n">
        <x:v>15</x:v>
      </x:c>
      <x:c r="D13" s="17" t="n">
        <x:v>10</x:v>
      </x:c>
      <x:c r="E13" s="17" t="n">
        <x:v>6</x:v>
      </x:c>
      <x:c r="F13" s="15" t="str">
        <x:v>CHOCO PEANUT BUTTER TRUFFLE</x:v>
      </x:c>
      <x:c r="G13" s="15" t="str">
        <x:v>Global preset</x:v>
      </x:c>
      <x:c r="H13" s="18" t="d">
        <x:v>2026-10-26T00:00:00.000Z</x:v>
      </x:c>
      <x:c r="I13" s="2" t="str">
        <x:v>a7bf5f</x:v>
      </x:c>
      <x:c r="J13" s="2" t="str">
        <x:v>(uncategorized)</x:v>
      </x:c>
      <x:c r="K13" s="15" t="str">
        <x:v>Saved as a global fixed snack preset. Verify Supy serving basis before reuse.</x:v>
      </x:c>
      <x:c r="L13" s="15" t="str">
        <x:v>KitchenSnackPreset global</x:v>
      </x:c>
      <x:c r="M13" s="2" t="str">
        <x:v>68f646d3c68aeeff81718fbe</x:v>
      </x:c>
      <x:c r="N13" s="19" t="n">
        <x:v>1</x:v>
      </x:c>
      <x:c r="O13" s="2" t="str">
        <x:v>Piece</x:v>
      </x:c>
    </x:row>
    <x:row r="14" ht="44" customHeight="1">
      <x:c r="A14" s="15" t="str">
        <x:v>Choco Peanut Butter Truffle</x:v>
      </x:c>
      <x:c r="B14" s="15" t="str">
        <x:v>Global preset</x:v>
      </x:c>
      <x:c r="C14" s="17" t="n">
        <x:v>15</x:v>
      </x:c>
      <x:c r="D14" s="17" t="n">
        <x:v>10</x:v>
      </x:c>
      <x:c r="E14" s="17" t="n">
        <x:v>6</x:v>
      </x:c>
      <x:c r="F14" s="15" t="str">
        <x:v>CHOCO PEANUT BUTTER TRUFFLE</x:v>
      </x:c>
      <x:c r="G14" s="15" t="str">
        <x:v>Global preset</x:v>
      </x:c>
      <x:c r="H14" s="18" t="d">
        <x:v>2026-10-26T00:00:00.000Z</x:v>
      </x:c>
      <x:c r="I14" s="2" t="str">
        <x:v>0b4fb2</x:v>
      </x:c>
      <x:c r="J14" s="2" t="str">
        <x:v>Matter Immigration</x:v>
      </x:c>
      <x:c r="K14" s="15" t="str">
        <x:v>Saved as a global fixed snack preset. Verify Supy serving basis before reuse.</x:v>
      </x:c>
      <x:c r="L14" s="15" t="str">
        <x:v>KitchenSnackPreset global</x:v>
      </x:c>
      <x:c r="M14" s="2" t="str">
        <x:v>6835850d96db400aa3d7cfda</x:v>
      </x:c>
      <x:c r="N14" s="19" t="n">
        <x:v>1</x:v>
      </x:c>
      <x:c r="O14" s="2" t="str">
        <x:v>Piece</x:v>
      </x:c>
    </x:row>
    <x:row r="15" ht="44" customHeight="1">
      <x:c r="A15" s="15" t="str">
        <x:v>Cinnamon Cookies</x:v>
      </x:c>
      <x:c r="B15" s="15" t="str">
        <x:v>Historical rotation only</x:v>
      </x:c>
      <x:c r="C15" s="17" t="n">
        <x:v>16</x:v>
      </x:c>
      <x:c r="D15" s="17" t="n">
        <x:v>12</x:v>
      </x:c>
      <x:c r="E15" s="17" t="n">
        <x:v>6</x:v>
      </x:c>
      <x:c r="F15" s="15" t="str">
        <x:v>CINNAMON COOKIES</x:v>
      </x:c>
      <x:c r="G15" s="15" t="str">
        <x:v>Weekly rotation</x:v>
      </x:c>
      <x:c r="H15" s="18" t="d">
        <x:v>2026-10-06T00:00:00.000Z</x:v>
      </x:c>
      <x:c r="I15" s="2" t="str">
        <x:v>5b87ce</x:v>
      </x:c>
      <x:c r="J15" s="2" t="str">
        <x:v>(uncategorized)</x:v>
      </x:c>
      <x:c r="K15" s="15" t="str">
        <x:v>Non-zero values exist in an older weekly rotation. Latest menus may be zero; create a global preset after checking the basis.</x:v>
      </x:c>
      <x:c r="L15" s="15" t="str">
        <x:v>Weekly menus from mon 5 to sunday 11 / 2026-10-06 / second</x:v>
      </x:c>
      <x:c r="M15" s="2" t="str">
        <x:v>68f646d3c68aeeff817189ba</x:v>
      </x:c>
      <x:c r="N15" s="19" t="n">
        <x:v>1</x:v>
      </x:c>
      <x:c r="O15" s="2" t="str">
        <x:v>Piece</x:v>
      </x:c>
    </x:row>
    <x:row r="16" ht="44" customHeight="1">
      <x:c r="A16" s="15" t="str">
        <x:v>Cinnamon Cookies</x:v>
      </x:c>
      <x:c r="B16" s="15" t="str">
        <x:v>Historical rotation only</x:v>
      </x:c>
      <x:c r="C16" s="17" t="n">
        <x:v>16</x:v>
      </x:c>
      <x:c r="D16" s="17" t="n">
        <x:v>12</x:v>
      </x:c>
      <x:c r="E16" s="17" t="n">
        <x:v>6</x:v>
      </x:c>
      <x:c r="F16" s="15" t="str">
        <x:v>CINNAMON COOKIES</x:v>
      </x:c>
      <x:c r="G16" s="15" t="str">
        <x:v>Weekly rotation</x:v>
      </x:c>
      <x:c r="H16" s="18" t="d">
        <x:v>2026-10-06T00:00:00.000Z</x:v>
      </x:c>
      <x:c r="I16" s="2" t="str">
        <x:v>1e3a79</x:v>
      </x:c>
      <x:c r="J16" s="2" t="str">
        <x:v>Batch Recipes </x:v>
      </x:c>
      <x:c r="K16" s="15" t="str">
        <x:v>Non-zero values exist in an older weekly rotation. Latest menus may be zero; create a global preset after checking the basis.</x:v>
      </x:c>
      <x:c r="L16" s="15" t="str">
        <x:v>Weekly menus from mon 5 to sunday 11 / 2026-10-06 / second</x:v>
      </x:c>
      <x:c r="M16" s="2" t="str">
        <x:v>6addec6b9ec1ebedff9c6f2c</x:v>
      </x:c>
      <x:c r="N16" s="19" t="n">
        <x:v>489.99487000000005</x:v>
      </x:c>
      <x:c r="O16" s="2" t="str">
        <x:v>Kg</x:v>
      </x:c>
    </x:row>
    <x:row r="17" ht="44" customHeight="1">
      <x:c r="A17" s="15" t="str">
        <x:v>Cinnamon Roll Energy Ball</x:v>
      </x:c>
      <x:c r="B17" s="15" t="str">
        <x:v>All-zero macros</x:v>
      </x:c>
      <x:c r="C17" s="17" t="n">
        <x:v>0</x:v>
      </x:c>
      <x:c r="D17" s="17" t="n">
        <x:v>0</x:v>
      </x:c>
      <x:c r="E17" s="17" t="n">
        <x:v>0</x:v>
      </x:c>
      <x:c r="F17" s="15" t="str">
        <x:v>CINNAMON ROLL ENERGY BALL</x:v>
      </x:c>
      <x:c r="G17" s="15" t="str">
        <x:v>Weekly rotation</x:v>
      </x:c>
      <x:c r="H17" s="18" t="d">
        <x:v>2026-10-29T00:00:00.000Z</x:v>
      </x:c>
      <x:c r="I17" s="2" t="str">
        <x:v>59aaf4</x:v>
      </x:c>
      <x:c r="J17" s="2" t="str">
        <x:v>(uncategorized)</x:v>
      </x:c>
      <x:c r="K17" s="15" t="str">
        <x:v>Name exists internally but all stored C/P/F values are zero. Values need completion.</x:v>
      </x:c>
      <x:c r="L17" s="15" t="str">
        <x:v>Weekly menus from Mon 26 oct to Sunday 1 Nov / 2026-10-29 / first</x:v>
      </x:c>
      <x:c r="M17" s="2" t="str">
        <x:v>68f646d3c68aeeff81718e1e</x:v>
      </x:c>
      <x:c r="N17" s="19" t="n">
        <x:v>1</x:v>
      </x:c>
      <x:c r="O17" s="2" t="str">
        <x:v>Piece</x:v>
      </x:c>
    </x:row>
    <x:row r="18" ht="44" customHeight="1">
      <x:c r="A18" s="15" t="str">
        <x:v>Coconut Muffins</x:v>
      </x:c>
      <x:c r="B18" s="15" t="str">
        <x:v>Global preset</x:v>
      </x:c>
      <x:c r="C18" s="17" t="n">
        <x:v>14</x:v>
      </x:c>
      <x:c r="D18" s="17" t="n">
        <x:v>10</x:v>
      </x:c>
      <x:c r="E18" s="17" t="n">
        <x:v>7</x:v>
      </x:c>
      <x:c r="F18" s="15" t="str">
        <x:v>COCONUT MUFFINS</x:v>
      </x:c>
      <x:c r="G18" s="15" t="str">
        <x:v>Global preset</x:v>
      </x:c>
      <x:c r="H18" s="18" t="d">
        <x:v>2026-10-26T00:00:00.000Z</x:v>
      </x:c>
      <x:c r="I18" s="2" t="str">
        <x:v>0c7a33</x:v>
      </x:c>
      <x:c r="J18" s="2" t="str">
        <x:v>(uncategorized)</x:v>
      </x:c>
      <x:c r="K18" s="15" t="str">
        <x:v>Saved as a global fixed snack preset. Verify Supy serving basis before reuse.</x:v>
      </x:c>
      <x:c r="L18" s="15" t="str">
        <x:v>KitchenSnackPreset global</x:v>
      </x:c>
      <x:c r="M18" s="2" t="str">
        <x:v>68f646d3c68aeeff817189de</x:v>
      </x:c>
      <x:c r="N18" s="19" t="n">
        <x:v>1</x:v>
      </x:c>
      <x:c r="O18" s="2" t="str">
        <x:v>Piece</x:v>
      </x:c>
    </x:row>
    <x:row r="19" ht="44" customHeight="1">
      <x:c r="A19" s="15" t="str">
        <x:v>Cookies &amp; Cream Cheese Cake</x:v>
      </x:c>
      <x:c r="B19" s="15" t="str">
        <x:v>Global preset</x:v>
      </x:c>
      <x:c r="C19" s="17" t="n">
        <x:v>18</x:v>
      </x:c>
      <x:c r="D19" s="17" t="n">
        <x:v>10</x:v>
      </x:c>
      <x:c r="E19" s="17" t="n">
        <x:v>8</x:v>
      </x:c>
      <x:c r="F19" s="15" t="str">
        <x:v>COOKIES &amp; CREAM CHEESE CAKE</x:v>
      </x:c>
      <x:c r="G19" s="15" t="str">
        <x:v>Global preset</x:v>
      </x:c>
      <x:c r="H19" s="18" t="d">
        <x:v>2026-10-26T00:00:00.000Z</x:v>
      </x:c>
      <x:c r="I19" s="2" t="str">
        <x:v>3599fc</x:v>
      </x:c>
      <x:c r="J19" s="2" t="str">
        <x:v>(uncategorized)</x:v>
      </x:c>
      <x:c r="K19" s="15" t="str">
        <x:v>Saved as a global fixed snack preset. Verify Supy serving basis before reuse.</x:v>
      </x:c>
      <x:c r="L19" s="15" t="str">
        <x:v>KitchenSnackPreset global</x:v>
      </x:c>
      <x:c r="M19" s="2" t="str">
        <x:v>68f646d3c68aeeff81718b6e</x:v>
      </x:c>
      <x:c r="N19" s="19" t="n">
        <x:v>1</x:v>
      </x:c>
      <x:c r="O19" s="2" t="str">
        <x:v>Piece</x:v>
      </x:c>
    </x:row>
    <x:row r="20" ht="44" customHeight="1">
      <x:c r="A20" s="15" t="str">
        <x:v>Cracker Bliss Ball</x:v>
      </x:c>
      <x:c r="B20" s="15" t="str">
        <x:v>Global preset</x:v>
      </x:c>
      <x:c r="C20" s="17" t="n">
        <x:v>18</x:v>
      </x:c>
      <x:c r="D20" s="17" t="n">
        <x:v>10</x:v>
      </x:c>
      <x:c r="E20" s="17" t="n">
        <x:v>7</x:v>
      </x:c>
      <x:c r="F20" s="15" t="str">
        <x:v>CRACKER BLISS BALL</x:v>
      </x:c>
      <x:c r="G20" s="15" t="str">
        <x:v>Global preset</x:v>
      </x:c>
      <x:c r="H20" s="18" t="d">
        <x:v>2026-10-26T00:00:00.000Z</x:v>
      </x:c>
      <x:c r="I20" s="2" t="str">
        <x:v>e9f98a</x:v>
      </x:c>
      <x:c r="J20" s="2" t="str">
        <x:v>(uncategorized)</x:v>
      </x:c>
      <x:c r="K20" s="15" t="str">
        <x:v>Saved as a global fixed snack preset. Verify Supy serving basis before reuse.</x:v>
      </x:c>
      <x:c r="L20" s="15" t="str">
        <x:v>KitchenSnackPreset global</x:v>
      </x:c>
      <x:c r="M20" s="2" t="str">
        <x:v>68f646d3c68aeeff81718bee</x:v>
      </x:c>
      <x:c r="N20" s="19" t="n">
        <x:v>1</x:v>
      </x:c>
      <x:c r="O20" s="2" t="str">
        <x:v>Piece</x:v>
      </x:c>
    </x:row>
    <x:row r="21" ht="44" customHeight="1">
      <x:c r="A21" s="15" t="str">
        <x:v>Cracker Bliss Ball</x:v>
      </x:c>
      <x:c r="B21" s="15" t="str">
        <x:v>Global preset</x:v>
      </x:c>
      <x:c r="C21" s="17" t="n">
        <x:v>18</x:v>
      </x:c>
      <x:c r="D21" s="17" t="n">
        <x:v>10</x:v>
      </x:c>
      <x:c r="E21" s="17" t="n">
        <x:v>7</x:v>
      </x:c>
      <x:c r="F21" s="15" t="str">
        <x:v>CRACKER BLISS BALL</x:v>
      </x:c>
      <x:c r="G21" s="15" t="str">
        <x:v>Global preset</x:v>
      </x:c>
      <x:c r="H21" s="18" t="d">
        <x:v>2026-10-26T00:00:00.000Z</x:v>
      </x:c>
      <x:c r="I21" s="2" t="str">
        <x:v>7037f6</x:v>
      </x:c>
      <x:c r="J21" s="2" t="str">
        <x:v>Matter Immigration</x:v>
      </x:c>
      <x:c r="K21" s="15" t="str">
        <x:v>Saved as a global fixed snack preset. Verify Supy serving basis before reuse.</x:v>
      </x:c>
      <x:c r="L21" s="15" t="str">
        <x:v>KitchenSnackPreset global</x:v>
      </x:c>
      <x:c r="M21" s="2" t="str">
        <x:v>68358545a9ae37723f4ff8a9</x:v>
      </x:c>
      <x:c r="N21" s="19" t="n">
        <x:v>1</x:v>
      </x:c>
      <x:c r="O21" s="2" t="str">
        <x:v>Piece</x:v>
      </x:c>
    </x:row>
    <x:row r="22" ht="44" customHeight="1">
      <x:c r="A22" s="15" t="str">
        <x:v>Honey Joys</x:v>
      </x:c>
      <x:c r="B22" s="15" t="str">
        <x:v>All-zero macros</x:v>
      </x:c>
      <x:c r="C22" s="17" t="n">
        <x:v>0</x:v>
      </x:c>
      <x:c r="D22" s="17" t="n">
        <x:v>0</x:v>
      </x:c>
      <x:c r="E22" s="17" t="n">
        <x:v>0</x:v>
      </x:c>
      <x:c r="F22" s="15" t="str">
        <x:v>HONEY JOYS</x:v>
      </x:c>
      <x:c r="G22" s="15" t="str">
        <x:v>Weekly rotation</x:v>
      </x:c>
      <x:c r="H22" s="18" t="d">
        <x:v>2026-10-23T00:00:00.000Z</x:v>
      </x:c>
      <x:c r="I22" s="2" t="str">
        <x:v>099852</x:v>
      </x:c>
      <x:c r="J22" s="2" t="str">
        <x:v>(uncategorized)</x:v>
      </x:c>
      <x:c r="K22" s="15" t="str">
        <x:v>Name exists internally but all stored C/P/F values are zero. Values need completion.</x:v>
      </x:c>
      <x:c r="L22" s="15" t="str">
        <x:v>Weekly menus from Mon 19 Oct to Sunday 25 Oct / 2026-10-23 / first</x:v>
      </x:c>
      <x:c r="M22" s="2" t="str">
        <x:v>68f646d3c68aeeff81718c1e</x:v>
      </x:c>
      <x:c r="N22" s="19" t="n">
        <x:v>1</x:v>
      </x:c>
      <x:c r="O22" s="2" t="str">
        <x:v>Piece</x:v>
      </x:c>
    </x:row>
    <x:row r="23" ht="44" customHeight="1">
      <x:c r="A23" s="15" t="str">
        <x:v>Lemon Chia Muffins</x:v>
      </x:c>
      <x:c r="B23" s="15" t="str">
        <x:v>Historical rotation only</x:v>
      </x:c>
      <x:c r="C23" s="17" t="n">
        <x:v>15</x:v>
      </x:c>
      <x:c r="D23" s="17" t="n">
        <x:v>10</x:v>
      </x:c>
      <x:c r="E23" s="17" t="n">
        <x:v>8</x:v>
      </x:c>
      <x:c r="F23" s="15" t="str">
        <x:v>LEMON CHIA MUFFINS</x:v>
      </x:c>
      <x:c r="G23" s="15" t="str">
        <x:v>Weekly rotation</x:v>
      </x:c>
      <x:c r="H23" s="18" t="d">
        <x:v>2026-09-23T00:00:00.000Z</x:v>
      </x:c>
      <x:c r="I23" s="2" t="str">
        <x:v>a7a52b</x:v>
      </x:c>
      <x:c r="J23" s="2" t="str">
        <x:v>(uncategorized)</x:v>
      </x:c>
      <x:c r="K23" s="15" t="str">
        <x:v>Non-zero values exist in an older weekly rotation. Latest menus may be zero; create a global preset after checking the basis.</x:v>
      </x:c>
      <x:c r="L23" s="15" t="str">
        <x:v>Weekly Menus from Mon 21 to Sunday 27 / 2026-09-23 / second</x:v>
      </x:c>
      <x:c r="M23" s="2" t="str">
        <x:v>68f646d3c68aeeff817189e2</x:v>
      </x:c>
      <x:c r="N23" s="19" t="n">
        <x:v>1</x:v>
      </x:c>
      <x:c r="O23" s="2" t="str">
        <x:v>Piece</x:v>
      </x:c>
    </x:row>
    <x:row r="24" ht="44" customHeight="1">
      <x:c r="A24" s="15" t="str">
        <x:v>Mango Coconut Muffins</x:v>
      </x:c>
      <x:c r="B24" s="15" t="str">
        <x:v>All-zero macros</x:v>
      </x:c>
      <x:c r="C24" s="17" t="n">
        <x:v>0</x:v>
      </x:c>
      <x:c r="D24" s="17" t="n">
        <x:v>0</x:v>
      </x:c>
      <x:c r="E24" s="17" t="n">
        <x:v>0</x:v>
      </x:c>
      <x:c r="F24" s="15" t="str">
        <x:v>MANGO COCONUT MUFFINS</x:v>
      </x:c>
      <x:c r="G24" s="15" t="str">
        <x:v>Weekly rotation</x:v>
      </x:c>
      <x:c r="H24" s="18" t="d">
        <x:v>2026-10-29T00:00:00.000Z</x:v>
      </x:c>
      <x:c r="I24" s="2" t="str">
        <x:v>016675</x:v>
      </x:c>
      <x:c r="J24" s="2" t="str">
        <x:v>(uncategorized)</x:v>
      </x:c>
      <x:c r="K24" s="15" t="str">
        <x:v>Name exists internally but all stored C/P/F values are zero. Values need completion.</x:v>
      </x:c>
      <x:c r="L24" s="15" t="str">
        <x:v>Weekly menus from Mon 26 oct to Sunday 1 Nov / 2026-10-29 / second</x:v>
      </x:c>
      <x:c r="M24" s="2" t="str">
        <x:v>68f646d3c68aeeff81718966</x:v>
      </x:c>
      <x:c r="N24" s="19" t="n">
        <x:v>1</x:v>
      </x:c>
      <x:c r="O24" s="2" t="str">
        <x:v>Piece</x:v>
      </x:c>
    </x:row>
    <x:row r="25" ht="44" customHeight="1">
      <x:c r="A25" s="15" t="str">
        <x:v>Mix Berry Bar</x:v>
      </x:c>
      <x:c r="B25" s="15" t="str">
        <x:v>All-zero macros</x:v>
      </x:c>
      <x:c r="C25" s="17" t="n">
        <x:v>0</x:v>
      </x:c>
      <x:c r="D25" s="17" t="n">
        <x:v>0</x:v>
      </x:c>
      <x:c r="E25" s="17" t="n">
        <x:v>0</x:v>
      </x:c>
      <x:c r="F25" s="15" t="str">
        <x:v>MIX BERRY BAR</x:v>
      </x:c>
      <x:c r="G25" s="15" t="str">
        <x:v>Weekly rotation</x:v>
      </x:c>
      <x:c r="H25" s="18" t="d">
        <x:v>2026-10-29T00:00:00.000Z</x:v>
      </x:c>
      <x:c r="I25" s="2" t="str">
        <x:v>a381db</x:v>
      </x:c>
      <x:c r="J25" s="2" t="str">
        <x:v>(uncategorized)</x:v>
      </x:c>
      <x:c r="K25" s="15" t="str">
        <x:v>Name exists internally but all stored C/P/F values are zero. Values need completion.</x:v>
      </x:c>
      <x:c r="L25" s="15" t="str">
        <x:v>Weekly menus from Mon 26 oct to Sunday 1 Nov / 2026-10-29 / first</x:v>
      </x:c>
      <x:c r="M25" s="2" t="str">
        <x:v>68f646d3c68aeeff8171899a</x:v>
      </x:c>
      <x:c r="N25" s="19" t="n">
        <x:v>1</x:v>
      </x:c>
      <x:c r="O25" s="2" t="str">
        <x:v>Piece</x:v>
      </x:c>
    </x:row>
    <x:row r="26" ht="44" customHeight="1">
      <x:c r="A26" s="15" t="str">
        <x:v>Mix Berry Cookies</x:v>
      </x:c>
      <x:c r="B26" s="15" t="str">
        <x:v>All-zero macros</x:v>
      </x:c>
      <x:c r="C26" s="17" t="n">
        <x:v>0</x:v>
      </x:c>
      <x:c r="D26" s="17" t="n">
        <x:v>0</x:v>
      </x:c>
      <x:c r="E26" s="17" t="n">
        <x:v>0</x:v>
      </x:c>
      <x:c r="F26" s="15" t="str">
        <x:v>MIX BERRY COOKIES</x:v>
      </x:c>
      <x:c r="G26" s="15" t="str">
        <x:v>Weekly rotation</x:v>
      </x:c>
      <x:c r="H26" s="18" t="d">
        <x:v>2026-10-13T00:00:00.000Z</x:v>
      </x:c>
      <x:c r="I26" s="2" t="str">
        <x:v>468762</x:v>
      </x:c>
      <x:c r="J26" s="2" t="str">
        <x:v>(uncategorized)</x:v>
      </x:c>
      <x:c r="K26" s="15" t="str">
        <x:v>Name exists internally but all stored C/P/F values are zero. Values need completion.</x:v>
      </x:c>
      <x:c r="L26" s="15" t="str">
        <x:v>Weekly menus from mon 12 to sunday 18 / 2026-10-13 / second</x:v>
      </x:c>
      <x:c r="M26" s="2" t="str">
        <x:v>6a27e1d36feeece53ce9961e</x:v>
      </x:c>
      <x:c r="N26" s="19" t="n">
        <x:v>1</x:v>
      </x:c>
      <x:c r="O26" s="2" t="str">
        <x:v>Piece</x:v>
      </x:c>
    </x:row>
    <x:row r="27" ht="44" customHeight="1">
      <x:c r="A27" s="15" t="str">
        <x:v>Oreo Delight</x:v>
      </x:c>
      <x:c r="B27" s="15" t="str">
        <x:v>Historical rotation only</x:v>
      </x:c>
      <x:c r="C27" s="17" t="n">
        <x:v>16</x:v>
      </x:c>
      <x:c r="D27" s="17" t="n">
        <x:v>12</x:v>
      </x:c>
      <x:c r="E27" s="17" t="n">
        <x:v>8</x:v>
      </x:c>
      <x:c r="F27" s="15" t="str">
        <x:v>OREO DELIGHT</x:v>
      </x:c>
      <x:c r="G27" s="15" t="str">
        <x:v>Weekly rotation</x:v>
      </x:c>
      <x:c r="H27" s="18" t="d">
        <x:v>2026-09-24T00:00:00.000Z</x:v>
      </x:c>
      <x:c r="I27" s="2" t="str">
        <x:v>8d26ed</x:v>
      </x:c>
      <x:c r="J27" s="2" t="str">
        <x:v>(uncategorized)</x:v>
      </x:c>
      <x:c r="K27" s="15" t="str">
        <x:v>Non-zero values exist in an older weekly rotation. Latest menus may be zero; create a global preset after checking the basis.</x:v>
      </x:c>
      <x:c r="L27" s="15" t="str">
        <x:v>Weekly Menus from Mon 21 to Sunday 27 / 2026-09-24 / first</x:v>
      </x:c>
      <x:c r="M27" s="2" t="str">
        <x:v>68f646d3c68aeeff81719296</x:v>
      </x:c>
      <x:c r="N27" s="19" t="n">
        <x:v>1</x:v>
      </x:c>
      <x:c r="O27" s="2" t="str">
        <x:v>Piece</x:v>
      </x:c>
    </x:row>
    <x:row r="28" ht="44" customHeight="1">
      <x:c r="A28" s="15" t="str">
        <x:v>Paradise Cake</x:v>
      </x:c>
      <x:c r="B28" s="15" t="str">
        <x:v>Historical rotation only</x:v>
      </x:c>
      <x:c r="C28" s="17" t="n">
        <x:v>18</x:v>
      </x:c>
      <x:c r="D28" s="17" t="n">
        <x:v>12</x:v>
      </x:c>
      <x:c r="E28" s="17" t="n">
        <x:v>6</x:v>
      </x:c>
      <x:c r="F28" s="15" t="str">
        <x:v>PARADISE CAKE</x:v>
      </x:c>
      <x:c r="G28" s="15" t="str">
        <x:v>Weekly rotation</x:v>
      </x:c>
      <x:c r="H28" s="18" t="d">
        <x:v>2026-09-16T00:00:00.000Z</x:v>
      </x:c>
      <x:c r="I28" s="2" t="str">
        <x:v>270c3c</x:v>
      </x:c>
      <x:c r="J28" s="2" t="str">
        <x:v>(uncategorized)</x:v>
      </x:c>
      <x:c r="K28" s="15" t="str">
        <x:v>Non-zero values exist in an older weekly rotation. Latest menus may be zero; create a global preset after checking the basis.</x:v>
      </x:c>
      <x:c r="L28" s="15" t="str">
        <x:v>Weekly Menus from Mon 14 to Sunday 20 / 2026-09-16 / second</x:v>
      </x:c>
      <x:c r="M28" s="2" t="str">
        <x:v>68f646d3c68aeeff817189f6</x:v>
      </x:c>
      <x:c r="N28" s="19" t="n">
        <x:v>1</x:v>
      </x:c>
      <x:c r="O28" s="2" t="str">
        <x:v>Piece</x:v>
      </x:c>
    </x:row>
    <x:row r="29" ht="44" customHeight="1">
      <x:c r="A29" s="15" t="str">
        <x:v>Peanut Butter Bar</x:v>
      </x:c>
      <x:c r="B29" s="15" t="str">
        <x:v>All-zero macros</x:v>
      </x:c>
      <x:c r="C29" s="17" t="n">
        <x:v>0</x:v>
      </x:c>
      <x:c r="D29" s="17" t="n">
        <x:v>0</x:v>
      </x:c>
      <x:c r="E29" s="17" t="n">
        <x:v>0</x:v>
      </x:c>
      <x:c r="F29" s="15" t="str">
        <x:v>PEANUT BUTTER BAR</x:v>
      </x:c>
      <x:c r="G29" s="15" t="str">
        <x:v>Weekly rotation</x:v>
      </x:c>
      <x:c r="H29" s="18" t="d">
        <x:v>2026-10-30T00:00:00.000Z</x:v>
      </x:c>
      <x:c r="I29" s="2" t="str">
        <x:v>ca4115</x:v>
      </x:c>
      <x:c r="J29" s="2" t="str">
        <x:v>(uncategorized)</x:v>
      </x:c>
      <x:c r="K29" s="15" t="str">
        <x:v>Name exists internally but all stored C/P/F values are zero. Values need completion.</x:v>
      </x:c>
      <x:c r="L29" s="15" t="str">
        <x:v>Weekly menus from Mon 26 oct to Sunday 1 Nov / 2026-10-30 / second</x:v>
      </x:c>
      <x:c r="M29" s="2" t="str">
        <x:v>68f646d3c68aeeff81718a9a</x:v>
      </x:c>
      <x:c r="N29" s="19" t="n">
        <x:v>1</x:v>
      </x:c>
      <x:c r="O29" s="2" t="str">
        <x:v>Piece</x:v>
      </x:c>
    </x:row>
    <x:row r="30" ht="44" customHeight="1">
      <x:c r="A30" s="15" t="str">
        <x:v>Peanut Butter Cake</x:v>
      </x:c>
      <x:c r="B30" s="15" t="str">
        <x:v>Historical rotation only</x:v>
      </x:c>
      <x:c r="C30" s="17" t="n">
        <x:v>14</x:v>
      </x:c>
      <x:c r="D30" s="17" t="n">
        <x:v>9</x:v>
      </x:c>
      <x:c r="E30" s="17" t="n">
        <x:v>6</x:v>
      </x:c>
      <x:c r="F30" s="15" t="str">
        <x:v>PEANUT BUTTER CAKE</x:v>
      </x:c>
      <x:c r="G30" s="15" t="str">
        <x:v>Weekly rotation</x:v>
      </x:c>
      <x:c r="H30" s="18" t="d">
        <x:v>2026-09-29T00:00:00.000Z</x:v>
      </x:c>
      <x:c r="I30" s="2" t="str">
        <x:v>d2f4fe</x:v>
      </x:c>
      <x:c r="J30" s="2" t="str">
        <x:v>(uncategorized)</x:v>
      </x:c>
      <x:c r="K30" s="15" t="str">
        <x:v>Non-zero values exist in an older weekly rotation. Latest menus may be zero; create a global preset after checking the basis.</x:v>
      </x:c>
      <x:c r="L30" s="15" t="str">
        <x:v>Weekly menus from mon 28 to sunday 4 / 2026-09-29 / second</x:v>
      </x:c>
      <x:c r="M30" s="2" t="str">
        <x:v>6a3115cfa32cfc0b9b1d1a1b</x:v>
      </x:c>
      <x:c r="N30" s="19" t="n">
        <x:v>1</x:v>
      </x:c>
      <x:c r="O30" s="2" t="str">
        <x:v>Piece</x:v>
      </x:c>
    </x:row>
    <x:row r="31" ht="44" customHeight="1">
      <x:c r="A31" s="15" t="str">
        <x:v>Peanut Butter Muffins</x:v>
      </x:c>
      <x:c r="B31" s="15" t="str">
        <x:v>Historical rotation only</x:v>
      </x:c>
      <x:c r="C31" s="17" t="n">
        <x:v>15</x:v>
      </x:c>
      <x:c r="D31" s="17" t="n">
        <x:v>10</x:v>
      </x:c>
      <x:c r="E31" s="17" t="n">
        <x:v>6</x:v>
      </x:c>
      <x:c r="F31" s="15" t="str">
        <x:v>PEANUT BUTTER MUFFINS</x:v>
      </x:c>
      <x:c r="G31" s="15" t="str">
        <x:v>Weekly rotation</x:v>
      </x:c>
      <x:c r="H31" s="18" t="d">
        <x:v>2026-09-24T00:00:00.000Z</x:v>
      </x:c>
      <x:c r="I31" s="2" t="str">
        <x:v>11a1f3</x:v>
      </x:c>
      <x:c r="J31" s="2" t="str">
        <x:v>(uncategorized)</x:v>
      </x:c>
      <x:c r="K31" s="15" t="str">
        <x:v>Non-zero values exist in an older weekly rotation. Latest menus may be zero; create a global preset after checking the basis.</x:v>
      </x:c>
      <x:c r="L31" s="15" t="str">
        <x:v>Weekly Menus from Mon 21 to Sunday 27 / 2026-09-24 / second</x:v>
      </x:c>
      <x:c r="M31" s="2" t="str">
        <x:v>68f646d3c68aeeff81718bd2</x:v>
      </x:c>
      <x:c r="N31" s="19" t="n">
        <x:v>1</x:v>
      </x:c>
      <x:c r="O31" s="2" t="str">
        <x:v>Piece</x:v>
      </x:c>
    </x:row>
    <x:row r="32" ht="44" customHeight="1">
      <x:c r="A32" s="15" t="str">
        <x:v>Peanut Butter Muffins</x:v>
      </x:c>
      <x:c r="B32" s="15" t="str">
        <x:v>Historical rotation only</x:v>
      </x:c>
      <x:c r="C32" s="17" t="n">
        <x:v>15</x:v>
      </x:c>
      <x:c r="D32" s="17" t="n">
        <x:v>10</x:v>
      </x:c>
      <x:c r="E32" s="17" t="n">
        <x:v>6</x:v>
      </x:c>
      <x:c r="F32" s="15" t="str">
        <x:v>PEANUT BUTTER MUFFINS</x:v>
      </x:c>
      <x:c r="G32" s="15" t="str">
        <x:v>Weekly rotation</x:v>
      </x:c>
      <x:c r="H32" s="18" t="d">
        <x:v>2026-09-24T00:00:00.000Z</x:v>
      </x:c>
      <x:c r="I32" s="2" t="str">
        <x:v>301e00</x:v>
      </x:c>
      <x:c r="J32" s="2" t="str">
        <x:v>(uncategorized)</x:v>
      </x:c>
      <x:c r="K32" s="15" t="str">
        <x:v>Non-zero values exist in an older weekly rotation. Latest menus may be zero; create a global preset after checking the basis.</x:v>
      </x:c>
      <x:c r="L32" s="15" t="str">
        <x:v>Weekly Menus from Mon 21 to Sunday 27 / 2026-09-24 / second</x:v>
      </x:c>
      <x:c r="M32" s="2" t="str">
        <x:v>68f646d3c68aeeff81718b1e</x:v>
      </x:c>
      <x:c r="N32" s="19" t="n">
        <x:v>1</x:v>
      </x:c>
      <x:c r="O32" s="2" t="str">
        <x:v>Piece</x:v>
      </x:c>
    </x:row>
    <x:row r="33" ht="44" customHeight="1">
      <x:c r="A33" s="15" t="str">
        <x:v>Peanut Butter Muffins</x:v>
      </x:c>
      <x:c r="B33" s="15" t="str">
        <x:v>Historical rotation only</x:v>
      </x:c>
      <x:c r="C33" s="17" t="n">
        <x:v>15</x:v>
      </x:c>
      <x:c r="D33" s="17" t="n">
        <x:v>10</x:v>
      </x:c>
      <x:c r="E33" s="17" t="n">
        <x:v>6</x:v>
      </x:c>
      <x:c r="F33" s="15" t="str">
        <x:v>PEANUT BUTTER MUFFINS</x:v>
      </x:c>
      <x:c r="G33" s="15" t="str">
        <x:v>Weekly rotation</x:v>
      </x:c>
      <x:c r="H33" s="18" t="d">
        <x:v>2026-09-24T00:00:00.000Z</x:v>
      </x:c>
      <x:c r="I33" s="2" t="str">
        <x:v>19ac19</x:v>
      </x:c>
      <x:c r="J33" s="2" t="str">
        <x:v>Breakfast</x:v>
      </x:c>
      <x:c r="K33" s="15" t="str">
        <x:v>Non-zero values exist in an older weekly rotation. Latest menus may be zero; create a global preset after checking the basis.</x:v>
      </x:c>
      <x:c r="L33" s="15" t="str">
        <x:v>Weekly Menus from Mon 21 to Sunday 27 / 2026-09-24 / second</x:v>
      </x:c>
      <x:c r="M33" s="2" t="str">
        <x:v>67fbbaff3f9670abbc226fb9</x:v>
      </x:c>
      <x:c r="N33" s="19" t="n">
        <x:v>24</x:v>
      </x:c>
      <x:c r="O33" s="2" t="str">
        <x:v>Piece</x:v>
      </x:c>
    </x:row>
    <x:row r="34" ht="44" customHeight="1">
      <x:c r="A34" s="15" t="str">
        <x:v>Raspberry Bar</x:v>
      </x:c>
      <x:c r="B34" s="15" t="str">
        <x:v>All-zero macros</x:v>
      </x:c>
      <x:c r="C34" s="17" t="n">
        <x:v>0</x:v>
      </x:c>
      <x:c r="D34" s="17" t="n">
        <x:v>0</x:v>
      </x:c>
      <x:c r="E34" s="17" t="n">
        <x:v>0</x:v>
      </x:c>
      <x:c r="F34" s="15" t="str">
        <x:v>RASPBERRY BAR</x:v>
      </x:c>
      <x:c r="G34" s="15" t="str">
        <x:v>Weekly rotation</x:v>
      </x:c>
      <x:c r="H34" s="18" t="d">
        <x:v>2026-09-23T00:00:00.000Z</x:v>
      </x:c>
      <x:c r="I34" s="2" t="str">
        <x:v>a74975</x:v>
      </x:c>
      <x:c r="J34" s="2" t="str">
        <x:v>(uncategorized)</x:v>
      </x:c>
      <x:c r="K34" s="15" t="str">
        <x:v>Name exists internally but all stored C/P/F values are zero. Values need completion.</x:v>
      </x:c>
      <x:c r="L34" s="15" t="str">
        <x:v>Weekly Menus from Mon 21 to Sunday 27 / 2026-09-23 / first</x:v>
      </x:c>
      <x:c r="M34" s="2" t="str">
        <x:v>68f646d3c68aeeff817189ee</x:v>
      </x:c>
      <x:c r="N34" s="19" t="n">
        <x:v>1</x:v>
      </x:c>
      <x:c r="O34" s="2" t="str">
        <x:v>Piece</x:v>
      </x:c>
    </x:row>
    <x:row r="35" ht="44" customHeight="1">
      <x:c r="A35" s="15" t="str">
        <x:v>Raspberry Muffins</x:v>
      </x:c>
      <x:c r="B35" s="15" t="str">
        <x:v>Historical rotation only</x:v>
      </x:c>
      <x:c r="C35" s="17" t="n">
        <x:v>15</x:v>
      </x:c>
      <x:c r="D35" s="17" t="n">
        <x:v>10</x:v>
      </x:c>
      <x:c r="E35" s="17" t="n">
        <x:v>8</x:v>
      </x:c>
      <x:c r="F35" s="15" t="str">
        <x:v>RASPBERRY MUFFINS</x:v>
      </x:c>
      <x:c r="G35" s="15" t="str">
        <x:v>Weekly rotation</x:v>
      </x:c>
      <x:c r="H35" s="18" t="d">
        <x:v>2026-10-05T00:00:00.000Z</x:v>
      </x:c>
      <x:c r="I35" s="2" t="str">
        <x:v>dd7c3a</x:v>
      </x:c>
      <x:c r="J35" s="2" t="str">
        <x:v>(uncategorized)</x:v>
      </x:c>
      <x:c r="K35" s="15" t="str">
        <x:v>Non-zero values exist in an older weekly rotation. Latest menus may be zero; create a global preset after checking the basis.</x:v>
      </x:c>
      <x:c r="L35" s="15" t="str">
        <x:v>Weekly menus from mon 5 to sunday 11 / 2026-10-05 / second</x:v>
      </x:c>
      <x:c r="M35" s="2" t="str">
        <x:v>68f646d3c68aeeff81718a3e</x:v>
      </x:c>
      <x:c r="N35" s="19" t="n">
        <x:v>1</x:v>
      </x:c>
      <x:c r="O35" s="2" t="str">
        <x:v>Piece</x:v>
      </x:c>
    </x:row>
    <x:row r="36" ht="44" customHeight="1">
      <x:c r="A36" s="15" t="str">
        <x:v>Raspberry Muffins</x:v>
      </x:c>
      <x:c r="B36" s="15" t="str">
        <x:v>Historical rotation only</x:v>
      </x:c>
      <x:c r="C36" s="17" t="n">
        <x:v>15</x:v>
      </x:c>
      <x:c r="D36" s="17" t="n">
        <x:v>10</x:v>
      </x:c>
      <x:c r="E36" s="17" t="n">
        <x:v>8</x:v>
      </x:c>
      <x:c r="F36" s="15" t="str">
        <x:v>RASPBERRY MUFFINS</x:v>
      </x:c>
      <x:c r="G36" s="15" t="str">
        <x:v>Weekly rotation</x:v>
      </x:c>
      <x:c r="H36" s="18" t="d">
        <x:v>2026-10-05T00:00:00.000Z</x:v>
      </x:c>
      <x:c r="I36" s="2" t="str">
        <x:v>24ad1b</x:v>
      </x:c>
      <x:c r="J36" s="2" t="str">
        <x:v>Breakfast</x:v>
      </x:c>
      <x:c r="K36" s="15" t="str">
        <x:v>Non-zero values exist in an older weekly rotation. Latest menus may be zero; create a global preset after checking the basis.</x:v>
      </x:c>
      <x:c r="L36" s="15" t="str">
        <x:v>Weekly menus from mon 5 to sunday 11 / 2026-10-05 / second</x:v>
      </x:c>
      <x:c r="M36" s="2" t="str">
        <x:v>664dc7de616087c9dc553248</x:v>
      </x:c>
      <x:c r="N36" s="19" t="n">
        <x:v>55</x:v>
      </x:c>
      <x:c r="O36" s="2" t="str">
        <x:v>Piece</x:v>
      </x:c>
    </x:row>
    <x:row r="37" ht="44" customHeight="1">
      <x:c r="A37" s="15" t="str">
        <x:v>Saffron Cheesecake</x:v>
      </x:c>
      <x:c r="B37" s="15" t="str">
        <x:v>All-zero macros</x:v>
      </x:c>
      <x:c r="C37" s="17" t="n">
        <x:v>0</x:v>
      </x:c>
      <x:c r="D37" s="17" t="n">
        <x:v>0</x:v>
      </x:c>
      <x:c r="E37" s="17" t="n">
        <x:v>0</x:v>
      </x:c>
      <x:c r="F37" s="15" t="str">
        <x:v>SAFFRON CHEESECAKE</x:v>
      </x:c>
      <x:c r="G37" s="15" t="str">
        <x:v>Weekly rotation</x:v>
      </x:c>
      <x:c r="H37" s="18" t="d">
        <x:v>2026-10-14T00:00:00.000Z</x:v>
      </x:c>
      <x:c r="I37" s="2" t="str">
        <x:v>5021a8</x:v>
      </x:c>
      <x:c r="J37" s="2" t="str">
        <x:v>(uncategorized)</x:v>
      </x:c>
      <x:c r="K37" s="15" t="str">
        <x:v>Name exists internally but all stored C/P/F values are zero. Values need completion.</x:v>
      </x:c>
      <x:c r="L37" s="15" t="str">
        <x:v>Weekly menus from mon 12 to sunday 18 / 2026-10-14 / second</x:v>
      </x:c>
      <x:c r="M37" s="2" t="str">
        <x:v>697f84570d8ad7373000b53d</x:v>
      </x:c>
      <x:c r="N37" s="19" t="n">
        <x:v>1</x:v>
      </x:c>
      <x:c r="O37" s="2" t="str">
        <x:v>Piece</x:v>
      </x:c>
    </x:row>
    <x:row r="38" ht="44" customHeight="1">
      <x:c r="A38" s="15" t="str">
        <x:v>Sesame Treat</x:v>
      </x:c>
      <x:c r="B38" s="15" t="str">
        <x:v>Historical rotation only</x:v>
      </x:c>
      <x:c r="C38" s="17" t="n">
        <x:v>18</x:v>
      </x:c>
      <x:c r="D38" s="17" t="n">
        <x:v>10</x:v>
      </x:c>
      <x:c r="E38" s="17" t="n">
        <x:v>8</x:v>
      </x:c>
      <x:c r="F38" s="15" t="str">
        <x:v>SESAME TREAT</x:v>
      </x:c>
      <x:c r="G38" s="15" t="str">
        <x:v>Weekly rotation</x:v>
      </x:c>
      <x:c r="H38" s="18" t="d">
        <x:v>2026-09-30T00:00:00.000Z</x:v>
      </x:c>
      <x:c r="I38" s="2" t="str">
        <x:v>73d66e</x:v>
      </x:c>
      <x:c r="J38" s="2" t="str">
        <x:v>(uncategorized)</x:v>
      </x:c>
      <x:c r="K38" s="15" t="str">
        <x:v>Non-zero values exist in an older weekly rotation. Latest menus may be zero; create a global preset after checking the basis.</x:v>
      </x:c>
      <x:c r="L38" s="15" t="str">
        <x:v>Weekly menus from mon 28 to sunday 4 / 2026-09-30 / first</x:v>
      </x:c>
      <x:c r="M38" s="2" t="str">
        <x:v>68f646d3c68aeeff81718bf2</x:v>
      </x:c>
      <x:c r="N38" s="19" t="n">
        <x:v>1</x:v>
      </x:c>
      <x:c r="O38" s="2" t="str">
        <x:v>Piece</x:v>
      </x:c>
    </x:row>
    <x:row r="39" ht="44" customHeight="1">
      <x:c r="A39" s="15" t="str">
        <x:v>Vanilla Cookies</x:v>
      </x:c>
      <x:c r="B39" s="15" t="str">
        <x:v>All-zero macros</x:v>
      </x:c>
      <x:c r="C39" s="17" t="n">
        <x:v>0</x:v>
      </x:c>
      <x:c r="D39" s="17" t="n">
        <x:v>0</x:v>
      </x:c>
      <x:c r="E39" s="17" t="n">
        <x:v>0</x:v>
      </x:c>
      <x:c r="F39" s="15" t="str">
        <x:v>VANILLA COOKIES</x:v>
      </x:c>
      <x:c r="G39" s="15" t="str">
        <x:v>Weekly rotation</x:v>
      </x:c>
      <x:c r="H39" s="18" t="d">
        <x:v>2026-10-20T00:00:00.000Z</x:v>
      </x:c>
      <x:c r="I39" s="2" t="str">
        <x:v>86483a</x:v>
      </x:c>
      <x:c r="J39" s="2" t="str">
        <x:v>(uncategorized)</x:v>
      </x:c>
      <x:c r="K39" s="15" t="str">
        <x:v>Name exists internally but all stored C/P/F values are zero. Values need completion.</x:v>
      </x:c>
      <x:c r="L39" s="15" t="str">
        <x:v>Weekly menus from Mon 19 Oct to Sunday 25 Oct / 2026-10-20 / second</x:v>
      </x:c>
      <x:c r="M39" s="2" t="str">
        <x:v>68f646d3c68aeeff81718b8e</x:v>
      </x:c>
      <x:c r="N39" s="19" t="n">
        <x:v>1</x:v>
      </x:c>
      <x:c r="O39" s="2" t="str">
        <x:v>Piece</x:v>
      </x:c>
    </x:row>
  </x:sheetData>
  <x:conditionalFormatting sqref="B10:B39">
    <x:cfRule type="containsText" dxfId="8" priority="1" operator="containsText" text="Name mismatch"/>
    <x:cfRule type="containsText" dxfId="9" priority="2" operator="containsText" text="Historical"/>
    <x:cfRule type="containsText" dxfId="10" priority="3" operator="containsText" text="All-zero"/>
    <x:cfRule type="containsText" dxfId="11" priority="4" operator="containsText" text="No macros"/>
  </x:conditionalFormatting>
  <x:pageMargins left="0.7" right="0.7" top="0.75" bottom="0.75" header="0.3" footer="0.3"/>
  <x:tableParts count="1">
    <x:tablePart xmlns:r="http://schemas.openxmlformats.org/officeDocument/2006/relationships" r:id="R3fa5d7369e414067"/>
  </x:tableParts>
</x:worksheet>
</file>