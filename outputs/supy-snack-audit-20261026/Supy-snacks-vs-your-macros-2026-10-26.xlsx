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11b9a9a97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y comparison" sheetId="1" r:id="R4f112c880dfe4c84"/>
    <x:sheet xmlns:r="http://schemas.openxmlformats.org/officeDocument/2006/relationships" name="Your macro list" sheetId="2" r:id="R77da6646c434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6">
    <x:font>
      <x:sz val="11"/>
      <x:name val="Carlito"/>
    </x:font>
    <x:font>
      <x:sz val="10"/>
      <x:color rgb="FF17212B"/>
      <x:name val="Arial"/>
    </x:font>
    <x:font>
      <x:b/>
      <x:sz val="16"/>
      <x:color rgb="FF173526"/>
      <x:name val="Arial"/>
    </x:font>
    <x:font>
      <x:i/>
      <x:sz val="10"/>
      <x:color rgb="FF52616B"/>
      <x:name val="Arial"/>
    </x:font>
    <x:font>
      <x:b/>
      <x:sz val="10"/>
      <x:color rgb="FF17352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52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7D2CC"/>
      </x:bottom>
      <x:diagonal/>
    </x:border>
    <x:border>
      <x:left/>
      <x:right style="thin">
        <x:color rgb="FFCBD5E1"/>
      </x:right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0e9d11ed14a65" /><Relationship Type="http://schemas.openxmlformats.org/officeDocument/2006/relationships/theme" Target="/xl/theme/theme1.xml" Id="R48f29a4d5b4443f3" /><Relationship Type="http://schemas.openxmlformats.org/officeDocument/2006/relationships/sharedStrings" Target="/xl/sharedStrings.xml" Id="R2af66bee2d80442d" /><Relationship Type="http://schemas.openxmlformats.org/officeDocument/2006/relationships/worksheet" Target="/xl/worksheets/sheet1.xml" Id="R4f112c880dfe4c84" /><Relationship Type="http://schemas.openxmlformats.org/officeDocument/2006/relationships/worksheet" Target="/xl/worksheets/sheet2.xml" Id="R77da6646c4344c74" /></Relationships>
</file>

<file path=xl/tables/table1.xml><?xml version="1.0" encoding="utf-8"?>
<x:table xmlns:x="http://schemas.openxmlformats.org/spreadsheetml/2006/main" id="1" name="SupyFileMacroComparison" displayName="SupyFileMacroComparison" ref="A9:P75" headerRowCount="1" totalsRowCount="0" totalsRowShown="0">
  <x:autoFilter ref="A9:P75"/>
  <x:tableColumns count="16">
    <x:tableColumn id="1" name="Supy snack"/>
    <x:tableColumn id="2" name="File name match"/>
    <x:tableColumn id="3" name="File C"/>
    <x:tableColumn id="4" name="File P"/>
    <x:tableColumn id="5" name="File F"/>
    <x:tableColumn id="6" name="DB C"/>
    <x:tableColumn id="7" name="DB P"/>
    <x:tableColumn id="8" name="DB F"/>
    <x:tableColumn id="9" name="Macro comparison"/>
    <x:tableColumn id="10" name="DB macro status"/>
    <x:tableColumn id="11" name="Matched file name"/>
    <x:tableColumn id="12" name="Meal number"/>
    <x:tableColumn id="13" name="Supy code"/>
    <x:tableColumn id="14" name="Review / action"/>
    <x:tableColumn id="15" name="Possible file names (unconfirmed)"/>
    <x:tableColumn id="16" name="Supy recipe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dMacroRecords" displayName="SuppliedMacroRecords" ref="A9:K86" headerRowCount="1" totalsRowCount="0" totalsRowShown="0">
  <x:autoFilter ref="A9:K86"/>
  <x:tableColumns count="11">
    <x:tableColumn id="1" name="Record #"/>
    <x:tableColumn id="2" name="Meal number"/>
    <x:tableColumn id="3" name="Snack name"/>
    <x:tableColumn id="4" name="Meal type"/>
    <x:tableColumn id="5" name="Ingredients"/>
    <x:tableColumn id="6" name="Carbs (C)"/>
    <x:tableColumn id="7" name="Protein (P)"/>
    <x:tableColumn id="8" name="Fat (F)"/>
    <x:tableColumn id="9" name="Supy Snacks names"/>
    <x:tableColumn id="10" name="Match status"/>
    <x:tableColumn id="11" name="Related Supy recipes in other categor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06ade7c05248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2e2e85430c4729" /></Relationships>
</file>

<file path=xl/worksheets/sheet1.xml><?xml version="1.0" encoding="utf-8"?>
<x:worksheet xmlns:x="http://schemas.openxmlformats.org/spreadsheetml/2006/main">
  <x:sheetPr>
    <x:tabColor rgb="FF173526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4" hidden="0" customWidth="1"/>
    <x:col min="10" max="10" width="28" hidden="0" customWidth="1"/>
    <x:col min="11" max="11" width="38" hidden="0" customWidth="1"/>
    <x:col min="12" max="12" width="15" hidden="0" customWidth="1"/>
    <x:col min="13" max="13" width="14" hidden="0" customWidth="1"/>
    <x:col min="14" max="14" width="67" hidden="0" customWidth="1"/>
    <x:col min="15" max="15" width="65" hidden="0" customWidth="1"/>
    <x:col min="16" max="16" width="2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4" t="str">
        <x:v>Supy snacks compared with your macro list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6" t="str">
        <x:v>Sources: Meals List 10-26-2026.xls; available Supy Snacks recipes and internal database snapshot from 26 Oct 2026.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24" customHeight="1">
      <x:c r="A4" s="6" t="str">
        <x:v>Your file supplies 77 snack records. File macros are linked to the original rows on Your macro list. No database values were changed.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24" customHeight="1">
      <x:c r="A5" s="6" t="str">
        <x:v>Name matches do not verify recipe or serving size. Historical database rotation values may use a different serving basis.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 ht="24" customHeight="1">
      <x:c r="A6" s="7" t="str">
        <x:v>Supy snacks</x:v>
      </x:c>
      <x:c r="B6" s="7" t="n">
        <x:f>COUNTA(A10:A75)</x:f>
        <x:v>66</x:v>
      </x:c>
      <x:c r="C6" s="7"/>
      <x:c r="D6" s="7" t="str">
        <x:v>In your file</x:v>
      </x:c>
      <x:c r="E6" s="7" t="n">
        <x:f>COUNTIFS(B10:B75,"Exact name")+COUNTIFS(B10:B75,"Name variant")</x:f>
        <x:v>24</x:v>
      </x:c>
      <x:c r="F6" s="7"/>
      <x:c r="G6" s="7" t="str">
        <x:v>Not matched</x:v>
      </x:c>
      <x:c r="H6" s="7" t="n">
        <x:f>B6-E6</x:f>
        <x:v>42</x:v>
      </x:c>
      <x:c r="I6" s="7"/>
      <x:c r="J6" s="7" t="str">
        <x:v>DB macro gaps</x:v>
      </x:c>
      <x:c r="K6" s="7" t="n">
        <x:f>COUNTIFS(I10:I75,"Missing in DB")</x:f>
        <x:v>13</x:v>
      </x:c>
      <x:c r="L6" s="7"/>
      <x:c r="M6" s="7" t="str">
        <x:v>DB reviews</x:v>
      </x:c>
      <x:c r="N6" s="7" t="n">
        <x:f>COUNTIFS(I10:I75,"Different values")+COUNTIFS(I10:I75,"DB name mismatch")</x:f>
        <x:v>2</x:v>
      </x:c>
      <x:c r="O6" s="7"/>
      <x:c r="P6" s="7"/>
    </x:row>
    <x:row r="7" ht="24" customHeight="1">
      <x:c r="A7" s="2" t="str">
        <x:v>Exact names take priority. Singular/plural variants and possible names need confirmation; unmatched file macros are left blank.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0" customHeight="1">
      <x:c r="A9" s="20" t="str">
        <x:v>Supy snack</x:v>
      </x:c>
      <x:c r="B9" s="20" t="str">
        <x:v>File name match</x:v>
      </x:c>
      <x:c r="C9" s="20" t="str">
        <x:v>File C</x:v>
      </x:c>
      <x:c r="D9" s="20" t="str">
        <x:v>File P</x:v>
      </x:c>
      <x:c r="E9" s="21" t="str">
        <x:v>File F</x:v>
      </x:c>
      <x:c r="F9" s="20" t="str">
        <x:v>DB C</x:v>
      </x:c>
      <x:c r="G9" s="20" t="str">
        <x:v>DB P</x:v>
      </x:c>
      <x:c r="H9" s="21" t="str">
        <x:v>DB F</x:v>
      </x:c>
      <x:c r="I9" s="20" t="str">
        <x:v>Macro comparison</x:v>
      </x:c>
      <x:c r="J9" s="20" t="str">
        <x:v>DB macro status</x:v>
      </x:c>
      <x:c r="K9" s="20" t="str">
        <x:v>Matched file name</x:v>
      </x:c>
      <x:c r="L9" s="20" t="str">
        <x:v>Meal number</x:v>
      </x:c>
      <x:c r="M9" s="20" t="str">
        <x:v>Supy code</x:v>
      </x:c>
      <x:c r="N9" s="20" t="str">
        <x:v>Review / action</x:v>
      </x:c>
      <x:c r="O9" s="20" t="str">
        <x:v>Possible file names (unconfirmed)</x:v>
      </x:c>
      <x:c r="P9" s="20" t="str">
        <x:v>Supy recipe ID</x:v>
      </x:c>
    </x:row>
    <x:row r="10" ht="54" customHeight="1">
      <x:c r="A10" s="10" t="str">
        <x:v>Blueberry Muffins</x:v>
      </x:c>
      <x:c r="B10" s="10" t="str">
        <x:v>Exact name</x:v>
      </x:c>
      <x:c r="C10" s="11" t="n">
        <x:f>IF(ISNUMBER('Your macro list'!F27),'Your macro list'!F27,"")</x:f>
        <x:v>10</x:v>
      </x:c>
      <x:c r="D10" s="11" t="n">
        <x:f>IF(ISNUMBER('Your macro list'!G27),'Your macro list'!G27,"")</x:f>
        <x:v>12</x:v>
      </x:c>
      <x:c r="E10" s="13" t="n">
        <x:f>IF(ISNUMBER('Your macro list'!H27),'Your macro list'!H27,"")</x:f>
        <x:v>7</x:v>
      </x:c>
      <x:c r="F10" s="11"/>
      <x:c r="G10" s="11"/>
      <x:c r="H10" s="13"/>
      <x:c r="I10" s="10" t="str">
        <x:f>IF(B10="Conflicting file entries","Review file entries",IF(COUNT(C10:E10)&lt;3,"Not found in file",IF(OR(J10="No macros found",J10="All-zero macros"),"Missing in DB",IF(J10="Name mismatch - review","DB name mismatch",IF(COUNT(F10:H10)&lt;3,"Missing in DB",IF(AND(C10=F10,D10=G10,E10=H10),"Same values","Different values"))))))</x:f>
        <x:v>Missing in DB</x:v>
      </x:c>
      <x:c r="J10" s="10" t="str">
        <x:v>No macros found</x:v>
      </x:c>
      <x:c r="K10" s="10" t="str">
        <x:f>'Your macro list'!C27</x:f>
        <x:v>BLUEBERRY MUFFINS</x:v>
      </x:c>
      <x:c r="L10" s="2" t="str">
        <x:f>'Your macro list'!B27</x:f>
        <x:v>000240</x:v>
      </x:c>
      <x:c r="M10" s="2" t="str">
        <x:v>63d61f</x:v>
      </x:c>
      <x:c r="N10" s="10" t="str">
        <x:v>Your file has macros. Verify the recipe and serving, then add a global snack preset.</x:v>
      </x:c>
      <x:c r="O10" s="10" t="str"/>
      <x:c r="P10" s="2" t="str">
        <x:v>664226096e2be5b72e08164f</x:v>
      </x:c>
    </x:row>
    <x:row r="11" ht="54" customHeight="1">
      <x:c r="A11" s="10" t="str">
        <x:v>Cheesecake Bites</x:v>
      </x:c>
      <x:c r="B11" s="10" t="str">
        <x:v>Exact name</x:v>
      </x:c>
      <x:c r="C11" s="11" t="n">
        <x:f>IF(ISNUMBER('Your macro list'!F86),'Your macro list'!F86,"")</x:f>
        <x:v>18</x:v>
      </x:c>
      <x:c r="D11" s="11" t="n">
        <x:f>IF(ISNUMBER('Your macro list'!G86),'Your macro list'!G86,"")</x:f>
        <x:v>10</x:v>
      </x:c>
      <x:c r="E11" s="13" t="n">
        <x:f>IF(ISNUMBER('Your macro list'!H86),'Your macro list'!H86,"")</x:f>
        <x:v>8</x:v>
      </x:c>
      <x:c r="F11" s="11"/>
      <x:c r="G11" s="11"/>
      <x:c r="H11" s="13"/>
      <x:c r="I11" s="10" t="str">
        <x:f>IF(B11="Conflicting file entries","Review file entries",IF(COUNT(C11:E11)&lt;3,"Not found in file",IF(OR(J11="No macros found",J11="All-zero macros"),"Missing in DB",IF(J11="Name mismatch - review","DB name mismatch",IF(COUNT(F11:H11)&lt;3,"Missing in DB",IF(AND(C11=F11,D11=G11,E11=H11),"Same values","Different values"))))))</x:f>
        <x:v>Missing in DB</x:v>
      </x:c>
      <x:c r="J11" s="10" t="str">
        <x:v>No macros found</x:v>
      </x:c>
      <x:c r="K11" s="10" t="str">
        <x:f>'Your macro list'!C86</x:f>
        <x:v>CHEESECAKE BITES</x:v>
      </x:c>
      <x:c r="L11" s="2" t="str">
        <x:f>'Your macro list'!B86</x:f>
        <x:v>000869</x:v>
      </x:c>
      <x:c r="M11" s="2" t="str">
        <x:v>d2d973</x:v>
      </x:c>
      <x:c r="N11" s="10" t="str">
        <x:v>Your file has macros. Verify the recipe and serving, then add a global snack preset.</x:v>
      </x:c>
      <x:c r="O11" s="10" t="str"/>
      <x:c r="P11" s="2" t="str">
        <x:v>68bc0c00d14f75ba68b2b846</x:v>
      </x:c>
    </x:row>
    <x:row r="12" ht="54" customHeight="1">
      <x:c r="A12" s="10" t="str">
        <x:v>Chocolate Oat Cookies</x:v>
      </x:c>
      <x:c r="B12" s="10" t="str">
        <x:v>Exact name</x:v>
      </x:c>
      <x:c r="C12" s="11" t="n">
        <x:f>IF(ISNUMBER('Your macro list'!F28),'Your macro list'!F28,"")</x:f>
        <x:v>14</x:v>
      </x:c>
      <x:c r="D12" s="11" t="n">
        <x:f>IF(ISNUMBER('Your macro list'!G28),'Your macro list'!G28,"")</x:f>
        <x:v>10</x:v>
      </x:c>
      <x:c r="E12" s="13" t="n">
        <x:f>IF(ISNUMBER('Your macro list'!H28),'Your macro list'!H28,"")</x:f>
        <x:v>6</x:v>
      </x:c>
      <x:c r="F12" s="11"/>
      <x:c r="G12" s="11"/>
      <x:c r="H12" s="13"/>
      <x:c r="I12" s="10" t="str">
        <x:f>IF(B12="Conflicting file entries","Review file entries",IF(COUNT(C12:E12)&lt;3,"Not found in file",IF(OR(J12="No macros found",J12="All-zero macros"),"Missing in DB",IF(J12="Name mismatch - review","DB name mismatch",IF(COUNT(F12:H12)&lt;3,"Missing in DB",IF(AND(C12=F12,D12=G12,E12=H12),"Same values","Different values"))))))</x:f>
        <x:v>Missing in DB</x:v>
      </x:c>
      <x:c r="J12" s="10" t="str">
        <x:v>No macros found</x:v>
      </x:c>
      <x:c r="K12" s="10" t="str">
        <x:f>'Your macro list'!C28</x:f>
        <x:v>CHOCOLATE OAT COOKIES</x:v>
      </x:c>
      <x:c r="L12" s="2" t="str">
        <x:f>'Your macro list'!B28</x:f>
        <x:v>000288</x:v>
      </x:c>
      <x:c r="M12" s="2" t="str">
        <x:v>15169e</x:v>
      </x:c>
      <x:c r="N12" s="10" t="str">
        <x:v>Your file has macros. Verify the recipe and serving, then add a global snack preset.</x:v>
      </x:c>
      <x:c r="O12" s="10" t="str"/>
      <x:c r="P12" s="2" t="str">
        <x:v>6679662e3af35e30bfa5bb01</x:v>
      </x:c>
    </x:row>
    <x:row r="13" ht="54" customHeight="1">
      <x:c r="A13" s="10" t="str">
        <x:v>Cinnamon Roll Energy Ball</x:v>
      </x:c>
      <x:c r="B13" s="10" t="str">
        <x:v>Exact name</x:v>
      </x:c>
      <x:c r="C13" s="11" t="n">
        <x:f>IF(ISNUMBER('Your macro list'!F74),'Your macro list'!F74,"")</x:f>
        <x:v>19</x:v>
      </x:c>
      <x:c r="D13" s="11" t="n">
        <x:f>IF(ISNUMBER('Your macro list'!G74),'Your macro list'!G74,"")</x:f>
        <x:v>10</x:v>
      </x:c>
      <x:c r="E13" s="13" t="n">
        <x:f>IF(ISNUMBER('Your macro list'!H74),'Your macro list'!H74,"")</x:f>
        <x:v>6</x:v>
      </x:c>
      <x:c r="F13" s="11" t="n">
        <x:v>0</x:v>
      </x:c>
      <x:c r="G13" s="11" t="n">
        <x:v>0</x:v>
      </x:c>
      <x:c r="H13" s="13" t="n">
        <x:v>0</x:v>
      </x:c>
      <x:c r="I13" s="10" t="str">
        <x:f>IF(B13="Conflicting file entries","Review file entries",IF(COUNT(C13:E13)&lt;3,"Not found in file",IF(OR(J13="No macros found",J13="All-zero macros"),"Missing in DB",IF(J13="Name mismatch - review","DB name mismatch",IF(COUNT(F13:H13)&lt;3,"Missing in DB",IF(AND(C13=F13,D13=G13,E13=H13),"Same values","Different values"))))))</x:f>
        <x:v>Missing in DB</x:v>
      </x:c>
      <x:c r="J13" s="10" t="str">
        <x:v>All-zero macros</x:v>
      </x:c>
      <x:c r="K13" s="10" t="str">
        <x:f>'Your macro list'!C74</x:f>
        <x:v>CINNAMON ROLL ENERGY BALL</x:v>
      </x:c>
      <x:c r="L13" s="2" t="str">
        <x:f>'Your macro list'!B74</x:f>
        <x:v>000842</x:v>
      </x:c>
      <x:c r="M13" s="2" t="str">
        <x:v>a37de9</x:v>
      </x:c>
      <x:c r="N13" s="10" t="str">
        <x:v>Your file has macros. Verify the recipe and serving, then add a global snack preset.</x:v>
      </x:c>
      <x:c r="O13" s="10" t="str"/>
      <x:c r="P13" s="2" t="str">
        <x:v>6638f53403e56f5c15596614</x:v>
      </x:c>
    </x:row>
    <x:row r="14" ht="54" customHeight="1">
      <x:c r="A14" s="10" t="str">
        <x:v>Cinnamon Stripe Cake</x:v>
      </x:c>
      <x:c r="B14" s="10" t="str">
        <x:v>Exact name</x:v>
      </x:c>
      <x:c r="C14" s="11" t="n">
        <x:f>IF(ISNUMBER('Your macro list'!F85),'Your macro list'!F85,"")</x:f>
        <x:v>16</x:v>
      </x:c>
      <x:c r="D14" s="11" t="n">
        <x:f>IF(ISNUMBER('Your macro list'!G85),'Your macro list'!G85,"")</x:f>
        <x:v>10</x:v>
      </x:c>
      <x:c r="E14" s="13" t="n">
        <x:f>IF(ISNUMBER('Your macro list'!H85),'Your macro list'!H85,"")</x:f>
        <x:v>7</x:v>
      </x:c>
      <x:c r="F14" s="11"/>
      <x:c r="G14" s="11"/>
      <x:c r="H14" s="13"/>
      <x:c r="I14" s="10" t="str">
        <x:f>IF(B14="Conflicting file entries","Review file entries",IF(COUNT(C14:E14)&lt;3,"Not found in file",IF(OR(J14="No macros found",J14="All-zero macros"),"Missing in DB",IF(J14="Name mismatch - review","DB name mismatch",IF(COUNT(F14:H14)&lt;3,"Missing in DB",IF(AND(C14=F14,D14=G14,E14=H14),"Same values","Different values"))))))</x:f>
        <x:v>Missing in DB</x:v>
      </x:c>
      <x:c r="J14" s="10" t="str">
        <x:v>No macros found</x:v>
      </x:c>
      <x:c r="K14" s="10" t="str">
        <x:f>'Your macro list'!C85</x:f>
        <x:v>CINNAMON STRIPE CAKE</x:v>
      </x:c>
      <x:c r="L14" s="2" t="str">
        <x:f>'Your macro list'!B85</x:f>
        <x:v>000866</x:v>
      </x:c>
      <x:c r="M14" s="2" t="str">
        <x:v>d534f8</x:v>
      </x:c>
      <x:c r="N14" s="10" t="str">
        <x:v>Your file has macros. Verify the recipe and serving, then add a global snack preset.</x:v>
      </x:c>
      <x:c r="O14" s="10" t="str"/>
      <x:c r="P14" s="2" t="str">
        <x:v>663a3b66f1f4007fce142836</x:v>
      </x:c>
    </x:row>
    <x:row r="15" ht="54" customHeight="1">
      <x:c r="A15" s="10" t="str">
        <x:v>Date Cinnamon Muffins</x:v>
      </x:c>
      <x:c r="B15" s="10" t="str">
        <x:v>Exact name</x:v>
      </x:c>
      <x:c r="C15" s="11" t="n">
        <x:f>IF(ISNUMBER('Your macro list'!F71),'Your macro list'!F71,"")</x:f>
        <x:v>16</x:v>
      </x:c>
      <x:c r="D15" s="11" t="n">
        <x:f>IF(ISNUMBER('Your macro list'!G71),'Your macro list'!G71,"")</x:f>
        <x:v>12</x:v>
      </x:c>
      <x:c r="E15" s="13" t="n">
        <x:f>IF(ISNUMBER('Your macro list'!H71),'Your macro list'!H71,"")</x:f>
        <x:v>6</x:v>
      </x:c>
      <x:c r="F15" s="11"/>
      <x:c r="G15" s="11"/>
      <x:c r="H15" s="13"/>
      <x:c r="I15" s="10" t="str">
        <x:f>IF(B15="Conflicting file entries","Review file entries",IF(COUNT(C15:E15)&lt;3,"Not found in file",IF(OR(J15="No macros found",J15="All-zero macros"),"Missing in DB",IF(J15="Name mismatch - review","DB name mismatch",IF(COUNT(F15:H15)&lt;3,"Missing in DB",IF(AND(C15=F15,D15=G15,E15=H15),"Same values","Different values"))))))</x:f>
        <x:v>Missing in DB</x:v>
      </x:c>
      <x:c r="J15" s="10" t="str">
        <x:v>No macros found</x:v>
      </x:c>
      <x:c r="K15" s="10" t="str">
        <x:f>'Your macro list'!C71</x:f>
        <x:v>DATE CINNAMON MUFFINS</x:v>
      </x:c>
      <x:c r="L15" s="2" t="str">
        <x:f>'Your macro list'!B71</x:f>
        <x:v>000838</x:v>
      </x:c>
      <x:c r="M15" s="2" t="str">
        <x:v>15aaba</x:v>
      </x:c>
      <x:c r="N15" s="10" t="str">
        <x:v>Your file has macros. Verify the recipe and serving, then add a global snack preset.</x:v>
      </x:c>
      <x:c r="O15" s="10" t="str"/>
      <x:c r="P15" s="2" t="str">
        <x:v>663b91e7a1a69004929dd959</x:v>
      </x:c>
    </x:row>
    <x:row r="16" ht="54" customHeight="1">
      <x:c r="A16" s="10" t="str">
        <x:v>Falafel</x:v>
      </x:c>
      <x:c r="B16" s="10" t="str">
        <x:v>Exact name</x:v>
      </x:c>
      <x:c r="C16" s="11" t="n">
        <x:f>IF(ISNUMBER('Your macro list'!F66),'Your macro list'!F66,"")</x:f>
        <x:v>16</x:v>
      </x:c>
      <x:c r="D16" s="11" t="n">
        <x:f>IF(ISNUMBER('Your macro list'!G66),'Your macro list'!G66,"")</x:f>
        <x:v>12</x:v>
      </x:c>
      <x:c r="E16" s="13" t="n">
        <x:f>IF(ISNUMBER('Your macro list'!H66),'Your macro list'!H66,"")</x:f>
        <x:v>6</x:v>
      </x:c>
      <x:c r="F16" s="11"/>
      <x:c r="G16" s="11"/>
      <x:c r="H16" s="13"/>
      <x:c r="I16" s="10" t="str">
        <x:f>IF(B16="Conflicting file entries","Review file entries",IF(COUNT(C16:E16)&lt;3,"Not found in file",IF(OR(J16="No macros found",J16="All-zero macros"),"Missing in DB",IF(J16="Name mismatch - review","DB name mismatch",IF(COUNT(F16:H16)&lt;3,"Missing in DB",IF(AND(C16=F16,D16=G16,E16=H16),"Same values","Different values"))))))</x:f>
        <x:v>Missing in DB</x:v>
      </x:c>
      <x:c r="J16" s="10" t="str">
        <x:v>No macros found</x:v>
      </x:c>
      <x:c r="K16" s="10" t="str">
        <x:f>'Your macro list'!C66</x:f>
        <x:v>FALAFEL</x:v>
      </x:c>
      <x:c r="L16" s="2" t="str">
        <x:f>'Your macro list'!B66</x:f>
        <x:v>000723</x:v>
      </x:c>
      <x:c r="M16" s="2" t="str">
        <x:v>f43570</x:v>
      </x:c>
      <x:c r="N16" s="10" t="str">
        <x:v>Your file has macros. Verify the recipe and serving, then add a global snack preset.</x:v>
      </x:c>
      <x:c r="O16" s="10" t="str"/>
      <x:c r="P16" s="2" t="str">
        <x:v>6638f6ba03e56f5c15596853</x:v>
      </x:c>
    </x:row>
    <x:row r="17" ht="54" customHeight="1">
      <x:c r="A17" s="10" t="str">
        <x:v>Funfetti Muffins</x:v>
      </x:c>
      <x:c r="B17" s="10" t="str">
        <x:v>Exact name</x:v>
      </x:c>
      <x:c r="C17" s="11" t="n">
        <x:f>IF(ISNUMBER('Your macro list'!F73),'Your macro list'!F73,"")</x:f>
        <x:v>15</x:v>
      </x:c>
      <x:c r="D17" s="11" t="n">
        <x:f>IF(ISNUMBER('Your macro list'!G73),'Your macro list'!G73,"")</x:f>
        <x:v>10</x:v>
      </x:c>
      <x:c r="E17" s="13" t="n">
        <x:f>IF(ISNUMBER('Your macro list'!H73),'Your macro list'!H73,"")</x:f>
        <x:v>6</x:v>
      </x:c>
      <x:c r="F17" s="11"/>
      <x:c r="G17" s="11"/>
      <x:c r="H17" s="13"/>
      <x:c r="I17" s="10" t="str">
        <x:f>IF(B17="Conflicting file entries","Review file entries",IF(COUNT(C17:E17)&lt;3,"Not found in file",IF(OR(J17="No macros found",J17="All-zero macros"),"Missing in DB",IF(J17="Name mismatch - review","DB name mismatch",IF(COUNT(F17:H17)&lt;3,"Missing in DB",IF(AND(C17=F17,D17=G17,E17=H17),"Same values","Different values"))))))</x:f>
        <x:v>Missing in DB</x:v>
      </x:c>
      <x:c r="J17" s="10" t="str">
        <x:v>No macros found</x:v>
      </x:c>
      <x:c r="K17" s="10" t="str">
        <x:f>'Your macro list'!C73</x:f>
        <x:v>FUNFETTI MUFFINS</x:v>
      </x:c>
      <x:c r="L17" s="2" t="str">
        <x:f>'Your macro list'!B73</x:f>
        <x:v>000840</x:v>
      </x:c>
      <x:c r="M17" s="2" t="str">
        <x:v>dfd8a0</x:v>
      </x:c>
      <x:c r="N17" s="10" t="str">
        <x:v>Your file has macros. Verify the recipe and serving, then add a global snack preset.</x:v>
      </x:c>
      <x:c r="O17" s="10" t="str"/>
      <x:c r="P17" s="2" t="str">
        <x:v>66488c3757eeb372ece6f70a</x:v>
      </x:c>
    </x:row>
    <x:row r="18" ht="54" customHeight="1">
      <x:c r="A18" s="10" t="str">
        <x:v>Honey Joys</x:v>
      </x:c>
      <x:c r="B18" s="10" t="str">
        <x:v>Exact name</x:v>
      </x:c>
      <x:c r="C18" s="11" t="n">
        <x:f>IF(ISNUMBER('Your macro list'!F79),'Your macro list'!F79,"")</x:f>
        <x:v>20</x:v>
      </x:c>
      <x:c r="D18" s="11" t="n">
        <x:f>IF(ISNUMBER('Your macro list'!G79),'Your macro list'!G79,"")</x:f>
        <x:v>10</x:v>
      </x:c>
      <x:c r="E18" s="13" t="n">
        <x:f>IF(ISNUMBER('Your macro list'!H79),'Your macro list'!H79,"")</x:f>
        <x:v>7</x:v>
      </x:c>
      <x:c r="F18" s="11" t="n">
        <x:v>0</x:v>
      </x:c>
      <x:c r="G18" s="11" t="n">
        <x:v>0</x:v>
      </x:c>
      <x:c r="H18" s="13" t="n">
        <x:v>0</x:v>
      </x:c>
      <x:c r="I18" s="10" t="str">
        <x:f>IF(B18="Conflicting file entries","Review file entries",IF(COUNT(C18:E18)&lt;3,"Not found in file",IF(OR(J18="No macros found",J18="All-zero macros"),"Missing in DB",IF(J18="Name mismatch - review","DB name mismatch",IF(COUNT(F18:H18)&lt;3,"Missing in DB",IF(AND(C18=F18,D18=G18,E18=H18),"Same values","Different values"))))))</x:f>
        <x:v>Missing in DB</x:v>
      </x:c>
      <x:c r="J18" s="10" t="str">
        <x:v>All-zero macros</x:v>
      </x:c>
      <x:c r="K18" s="10" t="str">
        <x:f>'Your macro list'!C79</x:f>
        <x:v>HONEY JOYS</x:v>
      </x:c>
      <x:c r="L18" s="2" t="str">
        <x:f>'Your macro list'!B79</x:f>
        <x:v>000847</x:v>
      </x:c>
      <x:c r="M18" s="2" t="str">
        <x:v>e9e6e6</x:v>
      </x:c>
      <x:c r="N18" s="10" t="str">
        <x:v>Your file has macros. Verify the recipe and serving, then add a global snack preset.</x:v>
      </x:c>
      <x:c r="O18" s="10" t="str"/>
      <x:c r="P18" s="2" t="str">
        <x:v>6741b4601ce98d112cb29c2c</x:v>
      </x:c>
    </x:row>
    <x:row r="19" ht="54" customHeight="1">
      <x:c r="A19" s="10" t="str">
        <x:v>Mango Coconut Muffins</x:v>
      </x:c>
      <x:c r="B19" s="10" t="str">
        <x:v>Name variant</x:v>
      </x:c>
      <x:c r="C19" s="11" t="n">
        <x:f>IF(ISNUMBER('Your macro list'!F43),'Your macro list'!F43,"")</x:f>
        <x:v>14</x:v>
      </x:c>
      <x:c r="D19" s="11" t="n">
        <x:f>IF(ISNUMBER('Your macro list'!G43),'Your macro list'!G43,"")</x:f>
        <x:v>9</x:v>
      </x:c>
      <x:c r="E19" s="13" t="n">
        <x:f>IF(ISNUMBER('Your macro list'!H43),'Your macro list'!H43,"")</x:f>
        <x:v>7</x:v>
      </x:c>
      <x:c r="F19" s="11" t="n">
        <x:v>0</x:v>
      </x:c>
      <x:c r="G19" s="11" t="n">
        <x:v>0</x:v>
      </x:c>
      <x:c r="H19" s="13" t="n">
        <x:v>0</x:v>
      </x:c>
      <x:c r="I19" s="10" t="str">
        <x:f>IF(B19="Conflicting file entries","Review file entries",IF(COUNT(C19:E19)&lt;3,"Not found in file",IF(OR(J19="No macros found",J19="All-zero macros"),"Missing in DB",IF(J19="Name mismatch - review","DB name mismatch",IF(COUNT(F19:H19)&lt;3,"Missing in DB",IF(AND(C19=F19,D19=G19,E19=H19),"Same values","Different values"))))))</x:f>
        <x:v>Missing in DB</x:v>
      </x:c>
      <x:c r="J19" s="10" t="str">
        <x:v>All-zero macros</x:v>
      </x:c>
      <x:c r="K19" s="10" t="str">
        <x:f>'Your macro list'!C43</x:f>
        <x:v>MANGO COCONUT MUFFIN</x:v>
      </x:c>
      <x:c r="L19" s="2" t="str">
        <x:f>'Your macro list'!B43</x:f>
        <x:v>000446</x:v>
      </x:c>
      <x:c r="M19" s="2" t="str">
        <x:v>18a247</x:v>
      </x:c>
      <x:c r="N19" s="10" t="str">
        <x:v>Your file has macros. Verify the recipe and serving, then add a global snack preset.</x:v>
      </x:c>
      <x:c r="O19" s="10" t="str"/>
      <x:c r="P19" s="2" t="str">
        <x:v>663b8667a1a69004929dc976</x:v>
      </x:c>
    </x:row>
    <x:row r="20" ht="54" customHeight="1">
      <x:c r="A20" s="10" t="str">
        <x:v>Mix Berry Bar</x:v>
      </x:c>
      <x:c r="B20" s="10" t="str">
        <x:v>Exact name</x:v>
      </x:c>
      <x:c r="C20" s="11" t="n">
        <x:f>IF(ISNUMBER('Your macro list'!F81),'Your macro list'!F81,"")</x:f>
        <x:v>16</x:v>
      </x:c>
      <x:c r="D20" s="11" t="n">
        <x:f>IF(ISNUMBER('Your macro list'!G81),'Your macro list'!G81,"")</x:f>
        <x:v>10</x:v>
      </x:c>
      <x:c r="E20" s="13" t="n">
        <x:f>IF(ISNUMBER('Your macro list'!H81),'Your macro list'!H81,"")</x:f>
        <x:v>7</x:v>
      </x:c>
      <x:c r="F20" s="11" t="n">
        <x:v>0</x:v>
      </x:c>
      <x:c r="G20" s="11" t="n">
        <x:v>0</x:v>
      </x:c>
      <x:c r="H20" s="13" t="n">
        <x:v>0</x:v>
      </x:c>
      <x:c r="I20" s="10" t="str">
        <x:f>IF(B20="Conflicting file entries","Review file entries",IF(COUNT(C20:E20)&lt;3,"Not found in file",IF(OR(J20="No macros found",J20="All-zero macros"),"Missing in DB",IF(J20="Name mismatch - review","DB name mismatch",IF(COUNT(F20:H20)&lt;3,"Missing in DB",IF(AND(C20=F20,D20=G20,E20=H20),"Same values","Different values"))))))</x:f>
        <x:v>Missing in DB</x:v>
      </x:c>
      <x:c r="J20" s="10" t="str">
        <x:v>All-zero macros</x:v>
      </x:c>
      <x:c r="K20" s="10" t="str">
        <x:f>'Your macro list'!C81</x:f>
        <x:v>MIX BERRY BAR</x:v>
      </x:c>
      <x:c r="L20" s="2" t="str">
        <x:f>'Your macro list'!B81</x:f>
        <x:v>000849</x:v>
      </x:c>
      <x:c r="M20" s="2" t="str">
        <x:v>526b0e</x:v>
      </x:c>
      <x:c r="N20" s="10" t="str">
        <x:v>Your file has macros. Verify the recipe and serving, then add a global snack preset.</x:v>
      </x:c>
      <x:c r="O20" s="10" t="str"/>
      <x:c r="P20" s="2" t="str">
        <x:v>663cc658f56dc2f9188ee093</x:v>
      </x:c>
    </x:row>
    <x:row r="21" ht="54" customHeight="1">
      <x:c r="A21" s="10" t="str">
        <x:v>Mix Berry Cookies</x:v>
      </x:c>
      <x:c r="B21" s="10" t="str">
        <x:v>Exact name</x:v>
      </x:c>
      <x:c r="C21" s="11" t="n">
        <x:f>IF(ISNUMBER('Your macro list'!F84),'Your macro list'!F84,"")</x:f>
        <x:v>14</x:v>
      </x:c>
      <x:c r="D21" s="11" t="n">
        <x:f>IF(ISNUMBER('Your macro list'!G84),'Your macro list'!G84,"")</x:f>
        <x:v>9</x:v>
      </x:c>
      <x:c r="E21" s="13" t="n">
        <x:f>IF(ISNUMBER('Your macro list'!H84),'Your macro list'!H84,"")</x:f>
        <x:v>9</x:v>
      </x:c>
      <x:c r="F21" s="11" t="n">
        <x:v>0</x:v>
      </x:c>
      <x:c r="G21" s="11" t="n">
        <x:v>0</x:v>
      </x:c>
      <x:c r="H21" s="13" t="n">
        <x:v>0</x:v>
      </x:c>
      <x:c r="I21" s="10" t="str">
        <x:f>IF(B21="Conflicting file entries","Review file entries",IF(COUNT(C21:E21)&lt;3,"Not found in file",IF(OR(J21="No macros found",J21="All-zero macros"),"Missing in DB",IF(J21="Name mismatch - review","DB name mismatch",IF(COUNT(F21:H21)&lt;3,"Missing in DB",IF(AND(C21=F21,D21=G21,E21=H21),"Same values","Different values"))))))</x:f>
        <x:v>Missing in DB</x:v>
      </x:c>
      <x:c r="J21" s="10" t="str">
        <x:v>All-zero macros</x:v>
      </x:c>
      <x:c r="K21" s="10" t="str">
        <x:f>'Your macro list'!C84</x:f>
        <x:v>MIX BERRY COOKIES</x:v>
      </x:c>
      <x:c r="L21" s="2" t="str">
        <x:f>'Your macro list'!B84</x:f>
        <x:v>000863</x:v>
      </x:c>
      <x:c r="M21" s="2" t="str">
        <x:v>82e39f</x:v>
      </x:c>
      <x:c r="N21" s="10" t="str">
        <x:v>Your file has macros. Verify the recipe and serving, then add a global snack preset.</x:v>
      </x:c>
      <x:c r="O21" s="10" t="str"/>
      <x:c r="P21" s="2" t="str">
        <x:v>6a27e19bd1a9d69d48aabbc6</x:v>
      </x:c>
    </x:row>
    <x:row r="22" ht="54" customHeight="1">
      <x:c r="A22" s="10" t="str">
        <x:v>Peanut Butter Bar</x:v>
      </x:c>
      <x:c r="B22" s="10" t="str">
        <x:v>Exact name</x:v>
      </x:c>
      <x:c r="C22" s="11" t="n">
        <x:f>IF(ISNUMBER('Your macro list'!F83),'Your macro list'!F83,"")</x:f>
        <x:v>15</x:v>
      </x:c>
      <x:c r="D22" s="11" t="n">
        <x:f>IF(ISNUMBER('Your macro list'!G83),'Your macro list'!G83,"")</x:f>
        <x:v>10</x:v>
      </x:c>
      <x:c r="E22" s="13" t="n">
        <x:f>IF(ISNUMBER('Your macro list'!H83),'Your macro list'!H83,"")</x:f>
        <x:v>12</x:v>
      </x:c>
      <x:c r="F22" s="11" t="n">
        <x:v>0</x:v>
      </x:c>
      <x:c r="G22" s="11" t="n">
        <x:v>0</x:v>
      </x:c>
      <x:c r="H22" s="13" t="n">
        <x:v>0</x:v>
      </x:c>
      <x:c r="I22" s="10" t="str">
        <x:f>IF(B22="Conflicting file entries","Review file entries",IF(COUNT(C22:E22)&lt;3,"Not found in file",IF(OR(J22="No macros found",J22="All-zero macros"),"Missing in DB",IF(J22="Name mismatch - review","DB name mismatch",IF(COUNT(F22:H22)&lt;3,"Missing in DB",IF(AND(C22=F22,D22=G22,E22=H22),"Same values","Different values"))))))</x:f>
        <x:v>Missing in DB</x:v>
      </x:c>
      <x:c r="J22" s="10" t="str">
        <x:v>All-zero macros</x:v>
      </x:c>
      <x:c r="K22" s="10" t="str">
        <x:f>'Your macro list'!C83</x:f>
        <x:v>PEANUT BUTTER BAR</x:v>
      </x:c>
      <x:c r="L22" s="2" t="str">
        <x:f>'Your macro list'!B83</x:f>
        <x:v>000852</x:v>
      </x:c>
      <x:c r="M22" s="2" t="str">
        <x:v>9e54a9</x:v>
      </x:c>
      <x:c r="N22" s="10" t="str">
        <x:v>Your file has macros. Verify the recipe and serving, then add a global snack preset.</x:v>
      </x:c>
      <x:c r="O22" s="10" t="str"/>
      <x:c r="P22" s="2" t="str">
        <x:v>665487c37945e52d3866f503</x:v>
      </x:c>
    </x:row>
    <x:row r="23" ht="54" customHeight="1">
      <x:c r="A23" s="10" t="str">
        <x:v>Apricot Muffin</x:v>
      </x:c>
      <x:c r="B23" s="10" t="str">
        <x:v>Exact name</x:v>
      </x:c>
      <x:c r="C23" s="11" t="n">
        <x:f>IF(ISNUMBER('Your macro list'!F14),'Your macro list'!F14,"")</x:f>
        <x:v>15</x:v>
      </x:c>
      <x:c r="D23" s="11" t="n">
        <x:f>IF(ISNUMBER('Your macro list'!G14),'Your macro list'!G14,"")</x:f>
        <x:v>10</x:v>
      </x:c>
      <x:c r="E23" s="13" t="n">
        <x:f>IF(ISNUMBER('Your macro list'!H14),'Your macro list'!H14,"")</x:f>
        <x:v>8</x:v>
      </x:c>
      <x:c r="F23" s="11" t="n">
        <x:v>10</x:v>
      </x:c>
      <x:c r="G23" s="11" t="n">
        <x:v>12</x:v>
      </x:c>
      <x:c r="H23" s="13" t="n">
        <x:v>7</x:v>
      </x:c>
      <x:c r="I23" s="10" t="str">
        <x:f>IF(B23="Conflicting file entries","Review file entries",IF(COUNT(C23:E23)&lt;3,"Not found in file",IF(OR(J23="No macros found",J23="All-zero macros"),"Missing in DB",IF(J23="Name mismatch - review","DB name mismatch",IF(COUNT(F23:H23)&lt;3,"Missing in DB",IF(AND(C23=F23,D23=G23,E23=H23),"Same values","Different values"))))))</x:f>
        <x:v>DB name mismatch</x:v>
      </x:c>
      <x:c r="J23" s="10" t="str">
        <x:v>Name mismatch - review</x:v>
      </x:c>
      <x:c r="K23" s="10" t="str">
        <x:f>'Your macro list'!C14</x:f>
        <x:v>APRICOT MUFFIN</x:v>
      </x:c>
      <x:c r="L23" s="2" t="str">
        <x:f>'Your macro list'!B14</x:f>
        <x:v>000099</x:v>
      </x:c>
      <x:c r="M23" s="2" t="str">
        <x:v>a81c29</x:v>
      </x:c>
      <x:c r="N23" s="10" t="str">
        <x:v>The database candidate name differs, and its C/P/F differs from your file. Confirm recipe and serving before importing.</x:v>
      </x:c>
      <x:c r="O23" s="10" t="str"/>
      <x:c r="P23" s="2" t="str">
        <x:v>664b4d09381a3c6c7395f4e3</x:v>
      </x:c>
    </x:row>
    <x:row r="24" ht="54" customHeight="1">
      <x:c r="A24" s="10" t="str">
        <x:v>Carrot Cake Muffins</x:v>
      </x:c>
      <x:c r="B24" s="10" t="str">
        <x:v>Name variant</x:v>
      </x:c>
      <x:c r="C24" s="11" t="n">
        <x:f>IF(ISNUMBER('Your macro list'!F11),'Your macro list'!F11,"")</x:f>
        <x:v>14</x:v>
      </x:c>
      <x:c r="D24" s="11" t="n">
        <x:f>IF(ISNUMBER('Your macro list'!G11),'Your macro list'!G11,"")</x:f>
        <x:v>10</x:v>
      </x:c>
      <x:c r="E24" s="13" t="n">
        <x:f>IF(ISNUMBER('Your macro list'!H11),'Your macro list'!H11,"")</x:f>
        <x:v>7</x:v>
      </x:c>
      <x:c r="F24" s="11" t="n">
        <x:v>10</x:v>
      </x:c>
      <x:c r="G24" s="11" t="n">
        <x:v>12</x:v>
      </x:c>
      <x:c r="H24" s="13" t="n">
        <x:v>7</x:v>
      </x:c>
      <x:c r="I24" s="10" t="str">
        <x:f>IF(B24="Conflicting file entries","Review file entries",IF(COUNT(C24:E24)&lt;3,"Not found in file",IF(OR(J24="No macros found",J24="All-zero macros"),"Missing in DB",IF(J24="Name mismatch - review","DB name mismatch",IF(COUNT(F24:H24)&lt;3,"Missing in DB",IF(AND(C24=F24,D24=G24,E24=H24),"Same values","Different values"))))))</x:f>
        <x:v>Different values</x:v>
      </x:c>
      <x:c r="J24" s="10" t="str">
        <x:v>Historical rotation only</x:v>
      </x:c>
      <x:c r="K24" s="10" t="str">
        <x:f>'Your macro list'!C11</x:f>
        <x:v>CARROT CAKE MUFFIN</x:v>
      </x:c>
      <x:c r="L24" s="2" t="str">
        <x:f>'Your macro list'!B11</x:f>
        <x:v>000077</x:v>
      </x:c>
      <x:c r="M24" s="2" t="str">
        <x:v>7cb526</x:v>
      </x:c>
      <x:c r="N24" s="10" t="str">
        <x:v>Your file and historical database C/P/F differ. Confirm recipe and serving before replacing values.</x:v>
      </x:c>
      <x:c r="O24" s="10" t="str"/>
      <x:c r="P24" s="2" t="str">
        <x:v>667138b0a70dd5e657b6dd5b</x:v>
      </x:c>
    </x:row>
    <x:row r="25" ht="54" customHeight="1">
      <x:c r="A25" s="10" t="str">
        <x:v>Blueberry Cookies</x:v>
      </x:c>
      <x:c r="B25" s="10" t="str">
        <x:v>Exact name</x:v>
      </x:c>
      <x:c r="C25" s="11" t="n">
        <x:f>IF(ISNUMBER('Your macro list'!F76),'Your macro list'!F76,"")</x:f>
        <x:v>16</x:v>
      </x:c>
      <x:c r="D25" s="11" t="n">
        <x:f>IF(ISNUMBER('Your macro list'!G76),'Your macro list'!G76,"")</x:f>
        <x:v>12</x:v>
      </x:c>
      <x:c r="E25" s="13" t="n">
        <x:f>IF(ISNUMBER('Your macro list'!H76),'Your macro list'!H76,"")</x:f>
        <x:v>8</x:v>
      </x:c>
      <x:c r="F25" s="11" t="n">
        <x:v>16</x:v>
      </x:c>
      <x:c r="G25" s="11" t="n">
        <x:v>12</x:v>
      </x:c>
      <x:c r="H25" s="13" t="n">
        <x:v>8</x:v>
      </x:c>
      <x:c r="I25" s="10" t="str">
        <x:f>IF(B25="Conflicting file entries","Review file entries",IF(COUNT(C25:E25)&lt;3,"Not found in file",IF(OR(J25="No macros found",J25="All-zero macros"),"Missing in DB",IF(J25="Name mismatch - review","DB name mismatch",IF(COUNT(F25:H25)&lt;3,"Missing in DB",IF(AND(C25=F25,D25=G25,E25=H25),"Same values","Different values"))))))</x:f>
        <x:v>Same values</x:v>
      </x:c>
      <x:c r="J25" s="10" t="str">
        <x:v>Historical rotation only</x:v>
      </x:c>
      <x:c r="K25" s="10" t="str">
        <x:f>'Your macro list'!C76</x:f>
        <x:v>BLUEBERRY COOKIES</x:v>
      </x:c>
      <x:c r="L25" s="2" t="str">
        <x:f>'Your macro list'!B76</x:f>
        <x:v>000844</x:v>
      </x:c>
      <x:c r="M25" s="2" t="str">
        <x:v>63fb56</x:v>
      </x:c>
      <x:c r="N25" s="10" t="str">
        <x:v>Same values exist only in an old weekly menu. Check whether a global preset should be created.</x:v>
      </x:c>
      <x:c r="O25" s="10" t="str"/>
      <x:c r="P25" s="2" t="str">
        <x:v>6648a30757eeb372ece71bf8</x:v>
      </x:c>
    </x:row>
    <x:row r="26" ht="54" customHeight="1">
      <x:c r="A26" s="10" t="str">
        <x:v>Carrot Cake Bar</x:v>
      </x:c>
      <x:c r="B26" s="10" t="str">
        <x:v>Exact name</x:v>
      </x:c>
      <x:c r="C26" s="11" t="n">
        <x:f>IF(ISNUMBER('Your macro list'!F82),'Your macro list'!F82,"")</x:f>
        <x:v>16</x:v>
      </x:c>
      <x:c r="D26" s="11" t="n">
        <x:f>IF(ISNUMBER('Your macro list'!G82),'Your macro list'!G82,"")</x:f>
        <x:v>10</x:v>
      </x:c>
      <x:c r="E26" s="13" t="n">
        <x:f>IF(ISNUMBER('Your macro list'!H82),'Your macro list'!H82,"")</x:f>
        <x:v>7</x:v>
      </x:c>
      <x:c r="F26" s="11" t="n">
        <x:v>16</x:v>
      </x:c>
      <x:c r="G26" s="11" t="n">
        <x:v>10</x:v>
      </x:c>
      <x:c r="H26" s="13" t="n">
        <x:v>7</x:v>
      </x:c>
      <x:c r="I26" s="10" t="str">
        <x:f>IF(B26="Conflicting file entries","Review file entries",IF(COUNT(C26:E26)&lt;3,"Not found in file",IF(OR(J26="No macros found",J26="All-zero macros"),"Missing in DB",IF(J26="Name mismatch - review","DB name mismatch",IF(COUNT(F26:H26)&lt;3,"Missing in DB",IF(AND(C26=F26,D26=G26,E26=H26),"Same values","Different values"))))))</x:f>
        <x:v>Same values</x:v>
      </x:c>
      <x:c r="J26" s="10" t="str">
        <x:v>Historical rotation only</x:v>
      </x:c>
      <x:c r="K26" s="10" t="str">
        <x:f>'Your macro list'!C82</x:f>
        <x:v>CARROT CAKE BAR</x:v>
      </x:c>
      <x:c r="L26" s="2" t="str">
        <x:f>'Your macro list'!B82</x:f>
        <x:v>000850</x:v>
      </x:c>
      <x:c r="M26" s="2" t="str">
        <x:v>a45708</x:v>
      </x:c>
      <x:c r="N26" s="10" t="str">
        <x:v>Same values exist only in an old weekly menu. Check whether a global preset should be created.</x:v>
      </x:c>
      <x:c r="O26" s="10" t="str"/>
      <x:c r="P26" s="2" t="str">
        <x:v>6641cbf16b54a24ad71946da</x:v>
      </x:c>
    </x:row>
    <x:row r="27" ht="54" customHeight="1">
      <x:c r="A27" s="10" t="str">
        <x:v>Choco Peanut Butter Truffle</x:v>
      </x:c>
      <x:c r="B27" s="10" t="str">
        <x:v>Exact name</x:v>
      </x:c>
      <x:c r="C27" s="11" t="n">
        <x:f>IF(ISNUMBER('Your macro list'!F36),'Your macro list'!F36,"")</x:f>
        <x:v>15</x:v>
      </x:c>
      <x:c r="D27" s="11" t="n">
        <x:f>IF(ISNUMBER('Your macro list'!G36),'Your macro list'!G36,"")</x:f>
        <x:v>10</x:v>
      </x:c>
      <x:c r="E27" s="13" t="n">
        <x:f>IF(ISNUMBER('Your macro list'!H36),'Your macro list'!H36,"")</x:f>
        <x:v>6</x:v>
      </x:c>
      <x:c r="F27" s="11" t="n">
        <x:v>15</x:v>
      </x:c>
      <x:c r="G27" s="11" t="n">
        <x:v>10</x:v>
      </x:c>
      <x:c r="H27" s="13" t="n">
        <x:v>6</x:v>
      </x:c>
      <x:c r="I27" s="10" t="str">
        <x:f>IF(B27="Conflicting file entries","Review file entries",IF(COUNT(C27:E27)&lt;3,"Not found in file",IF(OR(J27="No macros found",J27="All-zero macros"),"Missing in DB",IF(J27="Name mismatch - review","DB name mismatch",IF(COUNT(F27:H27)&lt;3,"Missing in DB",IF(AND(C27=F27,D27=G27,E27=H27),"Same values","Different values"))))))</x:f>
        <x:v>Same values</x:v>
      </x:c>
      <x:c r="J27" s="10" t="str">
        <x:v>Global preset</x:v>
      </x:c>
      <x:c r="K27" s="10" t="str">
        <x:f>'Your macro list'!C36</x:f>
        <x:v>CHOCO PEANUT BUTTER TRUFFLE</x:v>
      </x:c>
      <x:c r="L27" s="2" t="str">
        <x:f>'Your macro list'!B36</x:f>
        <x:v>000392</x:v>
      </x:c>
      <x:c r="M27" s="2" t="str">
        <x:v>6772e4</x:v>
      </x:c>
      <x:c r="N27" s="10" t="str">
        <x:v>File and saved global preset agree.</x:v>
      </x:c>
      <x:c r="O27" s="10" t="str"/>
      <x:c r="P27" s="2" t="str">
        <x:v>663cb735dfa45d33ea9eb6cb</x:v>
      </x:c>
    </x:row>
    <x:row r="28" ht="54" customHeight="1">
      <x:c r="A28" s="10" t="str">
        <x:v>Cinnamon Cookies</x:v>
      </x:c>
      <x:c r="B28" s="10" t="str">
        <x:v>Exact name</x:v>
      </x:c>
      <x:c r="C28" s="11" t="n">
        <x:f>IF(ISNUMBER('Your macro list'!F80),'Your macro list'!F80,"")</x:f>
        <x:v>16</x:v>
      </x:c>
      <x:c r="D28" s="11" t="n">
        <x:f>IF(ISNUMBER('Your macro list'!G80),'Your macro list'!G80,"")</x:f>
        <x:v>12</x:v>
      </x:c>
      <x:c r="E28" s="13" t="n">
        <x:f>IF(ISNUMBER('Your macro list'!H80),'Your macro list'!H80,"")</x:f>
        <x:v>6</x:v>
      </x:c>
      <x:c r="F28" s="11" t="n">
        <x:v>16</x:v>
      </x:c>
      <x:c r="G28" s="11" t="n">
        <x:v>12</x:v>
      </x:c>
      <x:c r="H28" s="13" t="n">
        <x:v>6</x:v>
      </x:c>
      <x:c r="I28" s="10" t="str">
        <x:f>IF(B28="Conflicting file entries","Review file entries",IF(COUNT(C28:E28)&lt;3,"Not found in file",IF(OR(J28="No macros found",J28="All-zero macros"),"Missing in DB",IF(J28="Name mismatch - review","DB name mismatch",IF(COUNT(F28:H28)&lt;3,"Missing in DB",IF(AND(C28=F28,D28=G28,E28=H28),"Same values","Different values"))))))</x:f>
        <x:v>Same values</x:v>
      </x:c>
      <x:c r="J28" s="10" t="str">
        <x:v>Historical rotation only</x:v>
      </x:c>
      <x:c r="K28" s="10" t="str">
        <x:f>'Your macro list'!C80</x:f>
        <x:v>CINNAMON COOKIES</x:v>
      </x:c>
      <x:c r="L28" s="2" t="str">
        <x:f>'Your macro list'!B80</x:f>
        <x:v>000848</x:v>
      </x:c>
      <x:c r="M28" s="2" t="str">
        <x:v>7bd00e</x:v>
      </x:c>
      <x:c r="N28" s="10" t="str">
        <x:v>Same values exist only in an old weekly menu. Check whether a global preset should be created.</x:v>
      </x:c>
      <x:c r="O28" s="10" t="str"/>
      <x:c r="P28" s="2" t="str">
        <x:v>66409049a6e4924ec0848c9c</x:v>
      </x:c>
    </x:row>
    <x:row r="29" ht="54" customHeight="1">
      <x:c r="A29" s="10" t="str">
        <x:v>Cookies &amp; Cream Cheese Cake</x:v>
      </x:c>
      <x:c r="B29" s="10" t="str">
        <x:v>Exact name</x:v>
      </x:c>
      <x:c r="C29" s="11" t="n">
        <x:f>IF(ISNUMBER('Your macro list'!F77),'Your macro list'!F77,"")</x:f>
        <x:v>18</x:v>
      </x:c>
      <x:c r="D29" s="11" t="n">
        <x:f>IF(ISNUMBER('Your macro list'!G77),'Your macro list'!G77,"")</x:f>
        <x:v>10</x:v>
      </x:c>
      <x:c r="E29" s="13" t="n">
        <x:f>IF(ISNUMBER('Your macro list'!H77),'Your macro list'!H77,"")</x:f>
        <x:v>8</x:v>
      </x:c>
      <x:c r="F29" s="11" t="n">
        <x:v>18</x:v>
      </x:c>
      <x:c r="G29" s="11" t="n">
        <x:v>10</x:v>
      </x:c>
      <x:c r="H29" s="13" t="n">
        <x:v>8</x:v>
      </x:c>
      <x:c r="I29" s="10" t="str">
        <x:f>IF(B29="Conflicting file entries","Review file entries",IF(COUNT(C29:E29)&lt;3,"Not found in file",IF(OR(J29="No macros found",J29="All-zero macros"),"Missing in DB",IF(J29="Name mismatch - review","DB name mismatch",IF(COUNT(F29:H29)&lt;3,"Missing in DB",IF(AND(C29=F29,D29=G29,E29=H29),"Same values","Different values"))))))</x:f>
        <x:v>Same values</x:v>
      </x:c>
      <x:c r="J29" s="10" t="str">
        <x:v>Global preset</x:v>
      </x:c>
      <x:c r="K29" s="10" t="str">
        <x:f>'Your macro list'!C77</x:f>
        <x:v>COOKIES &amp; CREAM CHEESE CAKE</x:v>
      </x:c>
      <x:c r="L29" s="2" t="str">
        <x:f>'Your macro list'!B77</x:f>
        <x:v>000845</x:v>
      </x:c>
      <x:c r="M29" s="2" t="str">
        <x:v>ec0607</x:v>
      </x:c>
      <x:c r="N29" s="10" t="str">
        <x:v>File and saved global preset agree.</x:v>
      </x:c>
      <x:c r="O29" s="10" t="str"/>
      <x:c r="P29" s="2" t="str">
        <x:v>66766f7d1330f25df720c6ef</x:v>
      </x:c>
    </x:row>
    <x:row r="30" ht="54" customHeight="1">
      <x:c r="A30" s="10" t="str">
        <x:v>Cracker Bliss Ball</x:v>
      </x:c>
      <x:c r="B30" s="10" t="str">
        <x:v>Name variant</x:v>
      </x:c>
      <x:c r="C30" s="11" t="n">
        <x:f>IF(ISNUMBER('Your macro list'!F65),'Your macro list'!F65,"")</x:f>
        <x:v>18</x:v>
      </x:c>
      <x:c r="D30" s="11" t="n">
        <x:f>IF(ISNUMBER('Your macro list'!G65),'Your macro list'!G65,"")</x:f>
        <x:v>10</x:v>
      </x:c>
      <x:c r="E30" s="13" t="n">
        <x:f>IF(ISNUMBER('Your macro list'!H65),'Your macro list'!H65,"")</x:f>
        <x:v>7</x:v>
      </x:c>
      <x:c r="F30" s="11" t="n">
        <x:v>18</x:v>
      </x:c>
      <x:c r="G30" s="11" t="n">
        <x:v>10</x:v>
      </x:c>
      <x:c r="H30" s="13" t="n">
        <x:v>7</x:v>
      </x:c>
      <x:c r="I30" s="10" t="str">
        <x:f>IF(B30="Conflicting file entries","Review file entries",IF(COUNT(C30:E30)&lt;3,"Not found in file",IF(OR(J30="No macros found",J30="All-zero macros"),"Missing in DB",IF(J30="Name mismatch - review","DB name mismatch",IF(COUNT(F30:H30)&lt;3,"Missing in DB",IF(AND(C30=F30,D30=G30,E30=H30),"Same values","Different values"))))))</x:f>
        <x:v>Same values</x:v>
      </x:c>
      <x:c r="J30" s="10" t="str">
        <x:v>Global preset</x:v>
      </x:c>
      <x:c r="K30" s="10" t="str">
        <x:f>'Your macro list'!C65</x:f>
        <x:v>CRACKER BLISS BALLS</x:v>
      </x:c>
      <x:c r="L30" s="2" t="str">
        <x:f>'Your macro list'!B65</x:f>
        <x:v>000715</x:v>
      </x:c>
      <x:c r="M30" s="2" t="str">
        <x:v>697176</x:v>
      </x:c>
      <x:c r="N30" s="10" t="str">
        <x:v>File and saved global preset agree.</x:v>
      </x:c>
      <x:c r="O30" s="10" t="str"/>
      <x:c r="P30" s="2" t="str">
        <x:v>663a3e9df1f4007fce142d98</x:v>
      </x:c>
    </x:row>
    <x:row r="31" ht="54" customHeight="1">
      <x:c r="A31" s="10" t="str">
        <x:v>Paradise Cake</x:v>
      </x:c>
      <x:c r="B31" s="10" t="str">
        <x:v>Exact name</x:v>
      </x:c>
      <x:c r="C31" s="11" t="n">
        <x:f>IF(ISNUMBER('Your macro list'!F78),'Your macro list'!F78,"")</x:f>
        <x:v>18</x:v>
      </x:c>
      <x:c r="D31" s="11" t="n">
        <x:f>IF(ISNUMBER('Your macro list'!G78),'Your macro list'!G78,"")</x:f>
        <x:v>12</x:v>
      </x:c>
      <x:c r="E31" s="13" t="n">
        <x:f>IF(ISNUMBER('Your macro list'!H78),'Your macro list'!H78,"")</x:f>
        <x:v>6</x:v>
      </x:c>
      <x:c r="F31" s="11" t="n">
        <x:v>18</x:v>
      </x:c>
      <x:c r="G31" s="11" t="n">
        <x:v>12</x:v>
      </x:c>
      <x:c r="H31" s="13" t="n">
        <x:v>6</x:v>
      </x:c>
      <x:c r="I31" s="10" t="str">
        <x:f>IF(B31="Conflicting file entries","Review file entries",IF(COUNT(C31:E31)&lt;3,"Not found in file",IF(OR(J31="No macros found",J31="All-zero macros"),"Missing in DB",IF(J31="Name mismatch - review","DB name mismatch",IF(COUNT(F31:H31)&lt;3,"Missing in DB",IF(AND(C31=F31,D31=G31,E31=H31),"Same values","Different values"))))))</x:f>
        <x:v>Same values</x:v>
      </x:c>
      <x:c r="J31" s="10" t="str">
        <x:v>Historical rotation only</x:v>
      </x:c>
      <x:c r="K31" s="10" t="str">
        <x:f>'Your macro list'!C78</x:f>
        <x:v>PARADISE CAKE</x:v>
      </x:c>
      <x:c r="L31" s="2" t="str">
        <x:f>'Your macro list'!B78</x:f>
        <x:v>000846</x:v>
      </x:c>
      <x:c r="M31" s="2" t="str">
        <x:v>ff1975</x:v>
      </x:c>
      <x:c r="N31" s="10" t="str">
        <x:v>Same values exist only in an old weekly menu. Check whether a global preset should be created.</x:v>
      </x:c>
      <x:c r="O31" s="10" t="str"/>
      <x:c r="P31" s="2" t="str">
        <x:v>66430181081a9ff4fc5682a3</x:v>
      </x:c>
    </x:row>
    <x:row r="32" ht="54" customHeight="1">
      <x:c r="A32" s="10" t="str">
        <x:v>Peanut Butter Muffins</x:v>
      </x:c>
      <x:c r="B32" s="10" t="str">
        <x:v>Exact name</x:v>
      </x:c>
      <x:c r="C32" s="11" t="n">
        <x:f>IF(ISNUMBER('Your macro list'!F75),'Your macro list'!F75,"")</x:f>
        <x:v>15</x:v>
      </x:c>
      <x:c r="D32" s="11" t="n">
        <x:f>IF(ISNUMBER('Your macro list'!G75),'Your macro list'!G75,"")</x:f>
        <x:v>10</x:v>
      </x:c>
      <x:c r="E32" s="13" t="n">
        <x:f>IF(ISNUMBER('Your macro list'!H75),'Your macro list'!H75,"")</x:f>
        <x:v>6</x:v>
      </x:c>
      <x:c r="F32" s="11" t="n">
        <x:v>15</x:v>
      </x:c>
      <x:c r="G32" s="11" t="n">
        <x:v>10</x:v>
      </x:c>
      <x:c r="H32" s="13" t="n">
        <x:v>6</x:v>
      </x:c>
      <x:c r="I32" s="10" t="str">
        <x:f>IF(B32="Conflicting file entries","Review file entries",IF(COUNT(C32:E32)&lt;3,"Not found in file",IF(OR(J32="No macros found",J32="All-zero macros"),"Missing in DB",IF(J32="Name mismatch - review","DB name mismatch",IF(COUNT(F32:H32)&lt;3,"Missing in DB",IF(AND(C32=F32,D32=G32,E32=H32),"Same values","Different values"))))))</x:f>
        <x:v>Same values</x:v>
      </x:c>
      <x:c r="J32" s="10" t="str">
        <x:v>Historical rotation only</x:v>
      </x:c>
      <x:c r="K32" s="10" t="str">
        <x:f>'Your macro list'!C75</x:f>
        <x:v>PEANUT BUTTER MUFFINS</x:v>
      </x:c>
      <x:c r="L32" s="2" t="str">
        <x:f>'Your macro list'!B75</x:f>
        <x:v>000843</x:v>
      </x:c>
      <x:c r="M32" s="2" t="str">
        <x:v>702be1</x:v>
      </x:c>
      <x:c r="N32" s="10" t="str">
        <x:v>Same values exist only in an old weekly menu. Check whether a global preset should be created.</x:v>
      </x:c>
      <x:c r="O32" s="10" t="str"/>
      <x:c r="P32" s="2" t="str">
        <x:v>6669a89f12052753f5430c3e</x:v>
      </x:c>
    </x:row>
    <x:row r="33" ht="54" customHeight="1">
      <x:c r="A33" s="10" t="str">
        <x:v>Sesame Treat</x:v>
      </x:c>
      <x:c r="B33" s="10" t="str">
        <x:v>Exact name</x:v>
      </x:c>
      <x:c r="C33" s="11" t="n">
        <x:f>IF(ISNUMBER('Your macro list'!F72),'Your macro list'!F72,"")</x:f>
        <x:v>18</x:v>
      </x:c>
      <x:c r="D33" s="11" t="n">
        <x:f>IF(ISNUMBER('Your macro list'!G72),'Your macro list'!G72,"")</x:f>
        <x:v>10</x:v>
      </x:c>
      <x:c r="E33" s="13" t="n">
        <x:f>IF(ISNUMBER('Your macro list'!H72),'Your macro list'!H72,"")</x:f>
        <x:v>8</x:v>
      </x:c>
      <x:c r="F33" s="11" t="n">
        <x:v>18</x:v>
      </x:c>
      <x:c r="G33" s="11" t="n">
        <x:v>10</x:v>
      </x:c>
      <x:c r="H33" s="13" t="n">
        <x:v>8</x:v>
      </x:c>
      <x:c r="I33" s="10" t="str">
        <x:f>IF(B33="Conflicting file entries","Review file entries",IF(COUNT(C33:E33)&lt;3,"Not found in file",IF(OR(J33="No macros found",J33="All-zero macros"),"Missing in DB",IF(J33="Name mismatch - review","DB name mismatch",IF(COUNT(F33:H33)&lt;3,"Missing in DB",IF(AND(C33=F33,D33=G33,E33=H33),"Same values","Different values"))))))</x:f>
        <x:v>Same values</x:v>
      </x:c>
      <x:c r="J33" s="10" t="str">
        <x:v>Historical rotation only</x:v>
      </x:c>
      <x:c r="K33" s="10" t="str">
        <x:f>'Your macro list'!C72</x:f>
        <x:v>SESAME TREAT</x:v>
      </x:c>
      <x:c r="L33" s="2" t="str">
        <x:f>'Your macro list'!B72</x:f>
        <x:v>000839</x:v>
      </x:c>
      <x:c r="M33" s="2" t="str">
        <x:v>216d53</x:v>
      </x:c>
      <x:c r="N33" s="10" t="str">
        <x:v>Same values exist only in an old weekly menu. Check whether a global preset should be created.</x:v>
      </x:c>
      <x:c r="O33" s="10" t="str"/>
      <x:c r="P33" s="2" t="str">
        <x:v>66422ba2e56bddb856ea94a7</x:v>
      </x:c>
    </x:row>
    <x:row r="34" ht="54" customHeight="1">
      <x:c r="A34" s="10" t="str">
        <x:v>Apple Brown Sugar Cake</x:v>
      </x:c>
      <x:c r="B34" s="10" t="str">
        <x:v>Not found in file</x:v>
      </x:c>
      <x:c r="C34" s="11"/>
      <x:c r="D34" s="11"/>
      <x:c r="E34" s="13"/>
      <x:c r="F34" s="11"/>
      <x:c r="G34" s="11"/>
      <x:c r="H34" s="13"/>
      <x:c r="I34" s="10" t="str">
        <x:f>IF(B34="Conflicting file entries","Review file entries",IF(COUNT(C34:E34)&lt;3,"Not found in file",IF(OR(J34="No macros found",J34="All-zero macros"),"Missing in DB",IF(J34="Name mismatch - review","DB name mismatch",IF(COUNT(F34:H34)&lt;3,"Missing in DB",IF(AND(C34=F34,D34=G34,E34=H34),"Same values","Different values"))))))</x:f>
        <x:v>Not found in file</x:v>
      </x:c>
      <x:c r="J34" s="10" t="str">
        <x:v>No macros found</x:v>
      </x:c>
      <x:c r="K34" s="10"/>
      <x:c r="L34" s="2"/>
      <x:c r="M34" s="2" t="str">
        <x:v>63cbae</x:v>
      </x:c>
      <x:c r="N34" s="10" t="str">
        <x:v>No confirmed name match in the supplied file. Possible names are suggestions only; no macros were inferred.</x:v>
      </x:c>
      <x:c r="O34" s="10" t="str"/>
      <x:c r="P34" s="2" t="str">
        <x:v>66dfebccb639c29ecf5f6f01</x:v>
      </x:c>
    </x:row>
    <x:row r="35" ht="54" customHeight="1">
      <x:c r="A35" s="10" t="str">
        <x:v>Apple Nutty Ball</x:v>
      </x:c>
      <x:c r="B35" s="10" t="str">
        <x:v>Not found in file</x:v>
      </x:c>
      <x:c r="C35" s="11"/>
      <x:c r="D35" s="11"/>
      <x:c r="E35" s="13"/>
      <x:c r="F35" s="11"/>
      <x:c r="G35" s="11"/>
      <x:c r="H35" s="13"/>
      <x:c r="I35" s="10" t="str">
        <x:f>IF(B35="Conflicting file entries","Review file entries",IF(COUNT(C35:E35)&lt;3,"Not found in file",IF(OR(J35="No macros found",J35="All-zero macros"),"Missing in DB",IF(J35="Name mismatch - review","DB name mismatch",IF(COUNT(F35:H35)&lt;3,"Missing in DB",IF(AND(C35=F35,D35=G35,E35=H35),"Same values","Different values"))))))</x:f>
        <x:v>Not found in file</x:v>
      </x:c>
      <x:c r="J35" s="10" t="str">
        <x:v>No macros found</x:v>
      </x:c>
      <x:c r="K35" s="10"/>
      <x:c r="L35" s="2"/>
      <x:c r="M35" s="2" t="str">
        <x:v>d90cbb</x:v>
      </x:c>
      <x:c r="N35" s="10" t="str">
        <x:v>No confirmed name match in the supplied file. Possible names are suggestions only; no macros were inferred.</x:v>
      </x:c>
      <x:c r="O35" s="10" t="str"/>
      <x:c r="P35" s="2" t="str">
        <x:v>663ccd73f56dc2f9188eecf1</x:v>
      </x:c>
    </x:row>
    <x:row r="36" ht="54" customHeight="1">
      <x:c r="A36" s="10" t="str">
        <x:v>Apricot Ball</x:v>
      </x:c>
      <x:c r="B36" s="10" t="str">
        <x:v>Not found in file</x:v>
      </x:c>
      <x:c r="C36" s="11"/>
      <x:c r="D36" s="11"/>
      <x:c r="E36" s="13"/>
      <x:c r="F36" s="11"/>
      <x:c r="G36" s="11"/>
      <x:c r="H36" s="13"/>
      <x:c r="I36" s="10" t="str">
        <x:f>IF(B36="Conflicting file entries","Review file entries",IF(COUNT(C36:E36)&lt;3,"Not found in file",IF(OR(J36="No macros found",J36="All-zero macros"),"Missing in DB",IF(J36="Name mismatch - review","DB name mismatch",IF(COUNT(F36:H36)&lt;3,"Missing in DB",IF(AND(C36=F36,D36=G36,E36=H36),"Same values","Different values"))))))</x:f>
        <x:v>Not found in file</x:v>
      </x:c>
      <x:c r="J36" s="10" t="str">
        <x:v>No macros found</x:v>
      </x:c>
      <x:c r="K36" s="10"/>
      <x:c r="L36" s="2"/>
      <x:c r="M36" s="2" t="str">
        <x:v>f14f05</x:v>
      </x:c>
      <x:c r="N36" s="10" t="str">
        <x:v>No confirmed name match in the supplied file. Possible names are suggestions only; no macros were inferred.</x:v>
      </x:c>
      <x:c r="O36" s="10" t="str">
        <x:v>APRICOT CHIA BALLS (000580)</x:v>
      </x:c>
      <x:c r="P36" s="2" t="str">
        <x:v>664225256e2be5b72e08147d</x:v>
      </x:c>
    </x:row>
    <x:row r="37" ht="54" customHeight="1">
      <x:c r="A37" s="10" t="str">
        <x:v>Banana Strawberry Protein Shake</x:v>
      </x:c>
      <x:c r="B37" s="10" t="str">
        <x:v>Not found in file</x:v>
      </x:c>
      <x:c r="C37" s="11"/>
      <x:c r="D37" s="11"/>
      <x:c r="E37" s="13"/>
      <x:c r="F37" s="11"/>
      <x:c r="G37" s="11"/>
      <x:c r="H37" s="13"/>
      <x:c r="I37" s="10" t="str">
        <x:f>IF(B37="Conflicting file entries","Review file entries",IF(COUNT(C37:E37)&lt;3,"Not found in file",IF(OR(J37="No macros found",J37="All-zero macros"),"Missing in DB",IF(J37="Name mismatch - review","DB name mismatch",IF(COUNT(F37:H37)&lt;3,"Missing in DB",IF(AND(C37=F37,D37=G37,E37=H37),"Same values","Different values"))))))</x:f>
        <x:v>Not found in file</x:v>
      </x:c>
      <x:c r="J37" s="10" t="str">
        <x:v>No macros found</x:v>
      </x:c>
      <x:c r="K37" s="10"/>
      <x:c r="L37" s="2"/>
      <x:c r="M37" s="2" t="str">
        <x:v>e8d384</x:v>
      </x:c>
      <x:c r="N37" s="10" t="str">
        <x:v>No confirmed name match in the supplied file. Possible names are suggestions only; no macros were inferred.</x:v>
      </x:c>
      <x:c r="O37" s="10" t="str"/>
      <x:c r="P37" s="2" t="str">
        <x:v>66a385ac7283433beb135925</x:v>
      </x:c>
    </x:row>
    <x:row r="38" ht="54" customHeight="1">
      <x:c r="A38" s="10" t="str">
        <x:v>Beet &amp; Berry Energy Gel</x:v>
      </x:c>
      <x:c r="B38" s="10" t="str">
        <x:v>Not found in file</x:v>
      </x:c>
      <x:c r="C38" s="11"/>
      <x:c r="D38" s="11"/>
      <x:c r="E38" s="13"/>
      <x:c r="F38" s="11"/>
      <x:c r="G38" s="11"/>
      <x:c r="H38" s="13"/>
      <x:c r="I38" s="10" t="str">
        <x:f>IF(B38="Conflicting file entries","Review file entries",IF(COUNT(C38:E38)&lt;3,"Not found in file",IF(OR(J38="No macros found",J38="All-zero macros"),"Missing in DB",IF(J38="Name mismatch - review","DB name mismatch",IF(COUNT(F38:H38)&lt;3,"Missing in DB",IF(AND(C38=F38,D38=G38,E38=H38),"Same values","Different values"))))))</x:f>
        <x:v>Not found in file</x:v>
      </x:c>
      <x:c r="J38" s="10" t="str">
        <x:v>No macros found</x:v>
      </x:c>
      <x:c r="K38" s="10"/>
      <x:c r="L38" s="2"/>
      <x:c r="M38" s="2" t="str">
        <x:v>ea48cb</x:v>
      </x:c>
      <x:c r="N38" s="10" t="str">
        <x:v>No confirmed name match in the supplied file. Possible names are suggestions only; no macros were inferred.</x:v>
      </x:c>
      <x:c r="O38" s="10" t="str"/>
      <x:c r="P38" s="2" t="str">
        <x:v>66a383ba7283433beb135628</x:v>
      </x:c>
    </x:row>
    <x:row r="39" ht="54" customHeight="1">
      <x:c r="A39" s="10" t="str">
        <x:v>Blueberry Bar</x:v>
      </x:c>
      <x:c r="B39" s="10" t="str">
        <x:v>Not found in file</x:v>
      </x:c>
      <x:c r="C39" s="11"/>
      <x:c r="D39" s="11"/>
      <x:c r="E39" s="13"/>
      <x:c r="F39" s="11"/>
      <x:c r="G39" s="11"/>
      <x:c r="H39" s="13"/>
      <x:c r="I39" s="10" t="str">
        <x:f>IF(B39="Conflicting file entries","Review file entries",IF(COUNT(C39:E39)&lt;3,"Not found in file",IF(OR(J39="No macros found",J39="All-zero macros"),"Missing in DB",IF(J39="Name mismatch - review","DB name mismatch",IF(COUNT(F39:H39)&lt;3,"Missing in DB",IF(AND(C39=F39,D39=G39,E39=H39),"Same values","Different values"))))))</x:f>
        <x:v>Not found in file</x:v>
      </x:c>
      <x:c r="J39" s="10" t="str">
        <x:v>No macros found</x:v>
      </x:c>
      <x:c r="K39" s="10"/>
      <x:c r="L39" s="2"/>
      <x:c r="M39" s="2" t="str">
        <x:v>69bd68</x:v>
      </x:c>
      <x:c r="N39" s="10" t="str">
        <x:v>No confirmed name match in the supplied file. Possible names are suggestions only; no macros were inferred.</x:v>
      </x:c>
      <x:c r="O39" s="10" t="str"/>
      <x:c r="P39" s="2" t="str">
        <x:v>66c9960f3e733484de686740</x:v>
      </x:c>
    </x:row>
    <x:row r="40" ht="54" customHeight="1">
      <x:c r="A40" s="10" t="str">
        <x:v>Brain Cluster</x:v>
      </x:c>
      <x:c r="B40" s="10" t="str">
        <x:v>Not found in file</x:v>
      </x:c>
      <x:c r="C40" s="11"/>
      <x:c r="D40" s="11"/>
      <x:c r="E40" s="13"/>
      <x:c r="F40" s="11" t="n">
        <x:v>14</x:v>
      </x:c>
      <x:c r="G40" s="11" t="n">
        <x:v>11</x:v>
      </x:c>
      <x:c r="H40" s="13" t="n">
        <x:v>7</x:v>
      </x:c>
      <x:c r="I40" s="10" t="str">
        <x:f>IF(B40="Conflicting file entries","Review file entries",IF(COUNT(C40:E40)&lt;3,"Not found in file",IF(OR(J40="No macros found",J40="All-zero macros"),"Missing in DB",IF(J40="Name mismatch - review","DB name mismatch",IF(COUNT(F40:H40)&lt;3,"Missing in DB",IF(AND(C40=F40,D40=G40,E40=H40),"Same values","Different values"))))))</x:f>
        <x:v>Not found in file</x:v>
      </x:c>
      <x:c r="J40" s="10" t="str">
        <x:v>Name mismatch - review</x:v>
      </x:c>
      <x:c r="K40" s="10"/>
      <x:c r="L40" s="2"/>
      <x:c r="M40" s="2" t="str">
        <x:v>9b97e8</x:v>
      </x:c>
      <x:c r="N40" s="10" t="str">
        <x:v>No confirmed name match in the supplied file. Possible names are suggestions only; no macros were inferred.</x:v>
      </x:c>
      <x:c r="O40" s="10" t="str"/>
      <x:c r="P40" s="2" t="str">
        <x:v>6662bb44d06c0aa9a7e7edb1</x:v>
      </x:c>
    </x:row>
    <x:row r="41" ht="54" customHeight="1">
      <x:c r="A41" s="10" t="str">
        <x:v>Choco Date Coffee Ball</x:v>
      </x:c>
      <x:c r="B41" s="10" t="str">
        <x:v>Not found in file</x:v>
      </x:c>
      <x:c r="C41" s="11"/>
      <x:c r="D41" s="11"/>
      <x:c r="E41" s="13"/>
      <x:c r="F41" s="11"/>
      <x:c r="G41" s="11"/>
      <x:c r="H41" s="13"/>
      <x:c r="I41" s="10" t="str">
        <x:f>IF(B41="Conflicting file entries","Review file entries",IF(COUNT(C41:E41)&lt;3,"Not found in file",IF(OR(J41="No macros found",J41="All-zero macros"),"Missing in DB",IF(J41="Name mismatch - review","DB name mismatch",IF(COUNT(F41:H41)&lt;3,"Missing in DB",IF(AND(C41=F41,D41=G41,E41=H41),"Same values","Different values"))))))</x:f>
        <x:v>Not found in file</x:v>
      </x:c>
      <x:c r="J41" s="10" t="str">
        <x:v>No macros found</x:v>
      </x:c>
      <x:c r="K41" s="10"/>
      <x:c r="L41" s="2"/>
      <x:c r="M41" s="2" t="str">
        <x:v>26bf8d</x:v>
      </x:c>
      <x:c r="N41" s="10" t="str">
        <x:v>No confirmed name match in the supplied file. Possible names are suggestions only; no macros were inferred.</x:v>
      </x:c>
      <x:c r="O41" s="10" t="str">
        <x:v>DATE COCONUT BALLS (000735)</x:v>
      </x:c>
      <x:c r="P41" s="2" t="str">
        <x:v>66422ae9e56bddb856ea93b1</x:v>
      </x:c>
    </x:row>
    <x:row r="42" ht="54" customHeight="1">
      <x:c r="A42" s="10" t="str">
        <x:v>Choco Mint Muffins</x:v>
      </x:c>
      <x:c r="B42" s="10" t="str">
        <x:v>Not found in file</x:v>
      </x:c>
      <x:c r="C42" s="11"/>
      <x:c r="D42" s="11"/>
      <x:c r="E42" s="13"/>
      <x:c r="F42" s="11"/>
      <x:c r="G42" s="11"/>
      <x:c r="H42" s="13"/>
      <x:c r="I42" s="10" t="str">
        <x:f>IF(B42="Conflicting file entries","Review file entries",IF(COUNT(C42:E42)&lt;3,"Not found in file",IF(OR(J42="No macros found",J42="All-zero macros"),"Missing in DB",IF(J42="Name mismatch - review","DB name mismatch",IF(COUNT(F42:H42)&lt;3,"Missing in DB",IF(AND(C42=F42,D42=G42,E42=H42),"Same values","Different values"))))))</x:f>
        <x:v>Not found in file</x:v>
      </x:c>
      <x:c r="J42" s="10" t="str">
        <x:v>No macros found</x:v>
      </x:c>
      <x:c r="K42" s="10"/>
      <x:c r="L42" s="2"/>
      <x:c r="M42" s="2" t="str">
        <x:v>464fa4</x:v>
      </x:c>
      <x:c r="N42" s="10" t="str">
        <x:v>No confirmed name match in the supplied file. Possible names are suggestions only; no macros were inferred.</x:v>
      </x:c>
      <x:c r="O42" s="10" t="str">
        <x:v>CHOCO MUFFINS (000590)</x:v>
      </x:c>
      <x:c r="P42" s="2" t="str">
        <x:v>66c996ac3e733484de686893</x:v>
      </x:c>
    </x:row>
    <x:row r="43" ht="54" customHeight="1">
      <x:c r="A43" s="10" t="str">
        <x:v>Chocolate Cookies</x:v>
      </x:c>
      <x:c r="B43" s="10" t="str">
        <x:v>Not found in file</x:v>
      </x:c>
      <x:c r="C43" s="11"/>
      <x:c r="D43" s="11"/>
      <x:c r="E43" s="13"/>
      <x:c r="F43" s="11"/>
      <x:c r="G43" s="11"/>
      <x:c r="H43" s="13"/>
      <x:c r="I43" s="10" t="str">
        <x:f>IF(B43="Conflicting file entries","Review file entries",IF(COUNT(C43:E43)&lt;3,"Not found in file",IF(OR(J43="No macros found",J43="All-zero macros"),"Missing in DB",IF(J43="Name mismatch - review","DB name mismatch",IF(COUNT(F43:H43)&lt;3,"Missing in DB",IF(AND(C43=F43,D43=G43,E43=H43),"Same values","Different values"))))))</x:f>
        <x:v>Not found in file</x:v>
      </x:c>
      <x:c r="J43" s="10" t="str">
        <x:v>No macros found</x:v>
      </x:c>
      <x:c r="K43" s="10"/>
      <x:c r="L43" s="2"/>
      <x:c r="M43" s="2" t="str">
        <x:v>e45a6d</x:v>
      </x:c>
      <x:c r="N43" s="10" t="str">
        <x:v>No confirmed name match in the supplied file. Possible names are suggestions only; no macros were inferred.</x:v>
      </x:c>
      <x:c r="O43" s="10" t="str">
        <x:v>CHOCOLATE OAT COOKIES (000288)</x:v>
      </x:c>
      <x:c r="P43" s="2" t="str">
        <x:v>663cb95df56dc2f9188ed15c</x:v>
      </x:c>
    </x:row>
    <x:row r="44" ht="54" customHeight="1">
      <x:c r="A44" s="10" t="str">
        <x:v>Coconut Muffins</x:v>
      </x:c>
      <x:c r="B44" s="10" t="str">
        <x:v>Not found in file</x:v>
      </x:c>
      <x:c r="C44" s="11"/>
      <x:c r="D44" s="11"/>
      <x:c r="E44" s="13"/>
      <x:c r="F44" s="11" t="n">
        <x:v>14</x:v>
      </x:c>
      <x:c r="G44" s="11" t="n">
        <x:v>10</x:v>
      </x:c>
      <x:c r="H44" s="13" t="n">
        <x:v>7</x:v>
      </x:c>
      <x:c r="I44" s="10" t="str">
        <x:f>IF(B44="Conflicting file entries","Review file entries",IF(COUNT(C44:E44)&lt;3,"Not found in file",IF(OR(J44="No macros found",J44="All-zero macros"),"Missing in DB",IF(J44="Name mismatch - review","DB name mismatch",IF(COUNT(F44:H44)&lt;3,"Missing in DB",IF(AND(C44=F44,D44=G44,E44=H44),"Same values","Different values"))))))</x:f>
        <x:v>Not found in file</x:v>
      </x:c>
      <x:c r="J44" s="10" t="str">
        <x:v>Global preset</x:v>
      </x:c>
      <x:c r="K44" s="10"/>
      <x:c r="L44" s="2"/>
      <x:c r="M44" s="2" t="str">
        <x:v>dfa85f</x:v>
      </x:c>
      <x:c r="N44" s="10" t="str">
        <x:v>No confirmed name match in the supplied file. Possible names are suggestions only; no macros were inferred.</x:v>
      </x:c>
      <x:c r="O44" s="10" t="str">
        <x:v>MANGO COCONUT MUFFIN (000446); COCONUT MUFFIN BITES (000495)</x:v>
      </x:c>
      <x:c r="P44" s="2" t="str">
        <x:v>66422c839ff53c7315abd001</x:v>
      </x:c>
    </x:row>
    <x:row r="45" ht="54" customHeight="1">
      <x:c r="A45" s="10" t="str">
        <x:v>Cranberry Ball</x:v>
      </x:c>
      <x:c r="B45" s="10" t="str">
        <x:v>Not found in file</x:v>
      </x:c>
      <x:c r="C45" s="11"/>
      <x:c r="D45" s="11"/>
      <x:c r="E45" s="13"/>
      <x:c r="F45" s="11"/>
      <x:c r="G45" s="11"/>
      <x:c r="H45" s="13"/>
      <x:c r="I45" s="10" t="str">
        <x:f>IF(B45="Conflicting file entries","Review file entries",IF(COUNT(C45:E45)&lt;3,"Not found in file",IF(OR(J45="No macros found",J45="All-zero macros"),"Missing in DB",IF(J45="Name mismatch - review","DB name mismatch",IF(COUNT(F45:H45)&lt;3,"Missing in DB",IF(AND(C45=F45,D45=G45,E45=H45),"Same values","Different values"))))))</x:f>
        <x:v>Not found in file</x:v>
      </x:c>
      <x:c r="J45" s="10" t="str">
        <x:v>No macros found</x:v>
      </x:c>
      <x:c r="K45" s="10"/>
      <x:c r="L45" s="2"/>
      <x:c r="M45" s="2" t="str">
        <x:v>3929cb</x:v>
      </x:c>
      <x:c r="N45" s="10" t="str">
        <x:v>No confirmed name match in the supplied file. Possible names are suggestions only; no macros were inferred.</x:v>
      </x:c>
      <x:c r="O45" s="10" t="str">
        <x:v>CRANBERRY CHIA BALLS (000461)</x:v>
      </x:c>
      <x:c r="P45" s="2" t="str">
        <x:v>663cc0fc81c1c6f666961703</x:v>
      </x:c>
    </x:row>
    <x:row r="46" ht="54" customHeight="1">
      <x:c r="A46" s="10" t="str">
        <x:v>Lemon Chia Muffins</x:v>
      </x:c>
      <x:c r="B46" s="10" t="str">
        <x:v>Not found in file</x:v>
      </x:c>
      <x:c r="C46" s="11"/>
      <x:c r="D46" s="11"/>
      <x:c r="E46" s="13"/>
      <x:c r="F46" s="11" t="n">
        <x:v>15</x:v>
      </x:c>
      <x:c r="G46" s="11" t="n">
        <x:v>10</x:v>
      </x:c>
      <x:c r="H46" s="13" t="n">
        <x:v>8</x:v>
      </x:c>
      <x:c r="I46" s="10" t="str">
        <x:f>IF(B46="Conflicting file entries","Review file entries",IF(COUNT(C46:E46)&lt;3,"Not found in file",IF(OR(J46="No macros found",J46="All-zero macros"),"Missing in DB",IF(J46="Name mismatch - review","DB name mismatch",IF(COUNT(F46:H46)&lt;3,"Missing in DB",IF(AND(C46=F46,D46=G46,E46=H46),"Same values","Different values"))))))</x:f>
        <x:v>Not found in file</x:v>
      </x:c>
      <x:c r="J46" s="10" t="str">
        <x:v>Historical rotation only</x:v>
      </x:c>
      <x:c r="K46" s="10"/>
      <x:c r="L46" s="2"/>
      <x:c r="M46" s="2" t="str">
        <x:v>2258d5</x:v>
      </x:c>
      <x:c r="N46" s="10" t="str">
        <x:v>No confirmed name match in the supplied file. Possible names are suggestions only; no macros were inferred.</x:v>
      </x:c>
      <x:c r="O46" s="10" t="str"/>
      <x:c r="P46" s="2" t="str">
        <x:v>66422db29ff53c7315abd10c</x:v>
      </x:c>
    </x:row>
    <x:row r="47" ht="54" customHeight="1">
      <x:c r="A47" s="10" t="str">
        <x:v>Lemon Chia Seed Biscuit</x:v>
      </x:c>
      <x:c r="B47" s="10" t="str">
        <x:v>Not found in file</x:v>
      </x:c>
      <x:c r="C47" s="11"/>
      <x:c r="D47" s="11"/>
      <x:c r="E47" s="13"/>
      <x:c r="F47" s="11"/>
      <x:c r="G47" s="11"/>
      <x:c r="H47" s="13"/>
      <x:c r="I47" s="10" t="str">
        <x:f>IF(B47="Conflicting file entries","Review file entries",IF(COUNT(C47:E47)&lt;3,"Not found in file",IF(OR(J47="No macros found",J47="All-zero macros"),"Missing in DB",IF(J47="Name mismatch - review","DB name mismatch",IF(COUNT(F47:H47)&lt;3,"Missing in DB",IF(AND(C47=F47,D47=G47,E47=H47),"Same values","Different values"))))))</x:f>
        <x:v>Not found in file</x:v>
      </x:c>
      <x:c r="J47" s="10" t="str">
        <x:v>No macros found</x:v>
      </x:c>
      <x:c r="K47" s="10"/>
      <x:c r="L47" s="2"/>
      <x:c r="M47" s="2" t="str">
        <x:v>7e3b25</x:v>
      </x:c>
      <x:c r="N47" s="10" t="str">
        <x:v>No confirmed name match in the supplied file. Possible names are suggestions only; no macros were inferred.</x:v>
      </x:c>
      <x:c r="O47" s="10" t="str"/>
      <x:c r="P47" s="2" t="str">
        <x:v>66bcb06a2320dc6bc957f59d</x:v>
      </x:c>
    </x:row>
    <x:row r="48" ht="54" customHeight="1">
      <x:c r="A48" s="10" t="str">
        <x:v>Lemon Pound Muffins</x:v>
      </x:c>
      <x:c r="B48" s="10" t="str">
        <x:v>Not found in file</x:v>
      </x:c>
      <x:c r="C48" s="11"/>
      <x:c r="D48" s="11"/>
      <x:c r="E48" s="13"/>
      <x:c r="F48" s="11"/>
      <x:c r="G48" s="11"/>
      <x:c r="H48" s="13"/>
      <x:c r="I48" s="10" t="str">
        <x:f>IF(B48="Conflicting file entries","Review file entries",IF(COUNT(C48:E48)&lt;3,"Not found in file",IF(OR(J48="No macros found",J48="All-zero macros"),"Missing in DB",IF(J48="Name mismatch - review","DB name mismatch",IF(COUNT(F48:H48)&lt;3,"Missing in DB",IF(AND(C48=F48,D48=G48,E48=H48),"Same values","Different values"))))))</x:f>
        <x:v>Not found in file</x:v>
      </x:c>
      <x:c r="J48" s="10" t="str">
        <x:v>No macros found</x:v>
      </x:c>
      <x:c r="K48" s="10"/>
      <x:c r="L48" s="2"/>
      <x:c r="M48" s="2" t="str">
        <x:v>8831ab</x:v>
      </x:c>
      <x:c r="N48" s="10" t="str">
        <x:v>No confirmed name match in the supplied file. Possible names are suggestions only; no macros were inferred.</x:v>
      </x:c>
      <x:c r="O48" s="10" t="str">
        <x:v>LEMON POUND CAKE (000736)</x:v>
      </x:c>
      <x:c r="P48" s="2" t="str">
        <x:v>689dcd01de655e5c92c2aad1</x:v>
      </x:c>
    </x:row>
    <x:row r="49" ht="54" customHeight="1">
      <x:c r="A49" s="10" t="str">
        <x:v>Lemon Square</x:v>
      </x:c>
      <x:c r="B49" s="10" t="str">
        <x:v>Not found in file</x:v>
      </x:c>
      <x:c r="C49" s="11"/>
      <x:c r="D49" s="11"/>
      <x:c r="E49" s="13"/>
      <x:c r="F49" s="11"/>
      <x:c r="G49" s="11"/>
      <x:c r="H49" s="13"/>
      <x:c r="I49" s="10" t="str">
        <x:f>IF(B49="Conflicting file entries","Review file entries",IF(COUNT(C49:E49)&lt;3,"Not found in file",IF(OR(J49="No macros found",J49="All-zero macros"),"Missing in DB",IF(J49="Name mismatch - review","DB name mismatch",IF(COUNT(F49:H49)&lt;3,"Missing in DB",IF(AND(C49=F49,D49=G49,E49=H49),"Same values","Different values"))))))</x:f>
        <x:v>Not found in file</x:v>
      </x:c>
      <x:c r="J49" s="10" t="str">
        <x:v>No macros found</x:v>
      </x:c>
      <x:c r="K49" s="10"/>
      <x:c r="L49" s="2"/>
      <x:c r="M49" s="2" t="str">
        <x:v>411545</x:v>
      </x:c>
      <x:c r="N49" s="10" t="str">
        <x:v>No confirmed name match in the supplied file. Possible names are suggestions only; no macros were inferred.</x:v>
      </x:c>
      <x:c r="O49" s="10" t="str"/>
      <x:c r="P49" s="2" t="str">
        <x:v>664303e7081a9ff4fc5685f4</x:v>
      </x:c>
    </x:row>
    <x:row r="50" ht="54" customHeight="1">
      <x:c r="A50" s="10" t="str">
        <x:v>Matter Signature Pudding</x:v>
      </x:c>
      <x:c r="B50" s="10" t="str">
        <x:v>Not found in file</x:v>
      </x:c>
      <x:c r="C50" s="11"/>
      <x:c r="D50" s="11"/>
      <x:c r="E50" s="13"/>
      <x:c r="F50" s="11"/>
      <x:c r="G50" s="11"/>
      <x:c r="H50" s="13"/>
      <x:c r="I50" s="10" t="str">
        <x:f>IF(B50="Conflicting file entries","Review file entries",IF(COUNT(C50:E50)&lt;3,"Not found in file",IF(OR(J50="No macros found",J50="All-zero macros"),"Missing in DB",IF(J50="Name mismatch - review","DB name mismatch",IF(COUNT(F50:H50)&lt;3,"Missing in DB",IF(AND(C50=F50,D50=G50,E50=H50),"Same values","Different values"))))))</x:f>
        <x:v>Not found in file</x:v>
      </x:c>
      <x:c r="J50" s="10" t="str">
        <x:v>No macros found</x:v>
      </x:c>
      <x:c r="K50" s="10"/>
      <x:c r="L50" s="2"/>
      <x:c r="M50" s="2" t="str">
        <x:v>c1aa42</x:v>
      </x:c>
      <x:c r="N50" s="10" t="str">
        <x:v>No confirmed name match in the supplied file. Possible names are suggestions only; no macros were inferred.</x:v>
      </x:c>
      <x:c r="O50" s="10" t="str"/>
      <x:c r="P50" s="2" t="str">
        <x:v>663ccf36f56dc2f9188ef3ba</x:v>
      </x:c>
    </x:row>
    <x:row r="51" ht="54" customHeight="1">
      <x:c r="A51" s="10" t="str">
        <x:v>Mix Berry Muffins</x:v>
      </x:c>
      <x:c r="B51" s="10" t="str">
        <x:v>Not found in file</x:v>
      </x:c>
      <x:c r="C51" s="11"/>
      <x:c r="D51" s="11"/>
      <x:c r="E51" s="13"/>
      <x:c r="F51" s="11"/>
      <x:c r="G51" s="11"/>
      <x:c r="H51" s="13"/>
      <x:c r="I51" s="10" t="str">
        <x:f>IF(B51="Conflicting file entries","Review file entries",IF(COUNT(C51:E51)&lt;3,"Not found in file",IF(OR(J51="No macros found",J51="All-zero macros"),"Missing in DB",IF(J51="Name mismatch - review","DB name mismatch",IF(COUNT(F51:H51)&lt;3,"Missing in DB",IF(AND(C51=F51,D51=G51,E51=H51),"Same values","Different values"))))))</x:f>
        <x:v>Not found in file</x:v>
      </x:c>
      <x:c r="J51" s="10" t="str">
        <x:v>No macros found</x:v>
      </x:c>
      <x:c r="K51" s="10"/>
      <x:c r="L51" s="2"/>
      <x:c r="M51" s="2" t="str">
        <x:v>c19a96</x:v>
      </x:c>
      <x:c r="N51" s="10" t="str">
        <x:v>No confirmed name match in the supplied file. Possible names are suggestions only; no macros were inferred.</x:v>
      </x:c>
      <x:c r="O51" s="10" t="str">
        <x:v>MIX BERRY WAFFLE (000393); MIX BERRY BAR (000849)</x:v>
      </x:c>
      <x:c r="P51" s="2" t="str">
        <x:v>667138772de1846ccdece833</x:v>
      </x:c>
    </x:row>
    <x:row r="52" ht="54" customHeight="1">
      <x:c r="A52" s="10" t="str">
        <x:v>Nutty Brownies</x:v>
      </x:c>
      <x:c r="B52" s="10" t="str">
        <x:v>Not found in file</x:v>
      </x:c>
      <x:c r="C52" s="11"/>
      <x:c r="D52" s="11"/>
      <x:c r="E52" s="13"/>
      <x:c r="F52" s="11"/>
      <x:c r="G52" s="11"/>
      <x:c r="H52" s="13"/>
      <x:c r="I52" s="10" t="str">
        <x:f>IF(B52="Conflicting file entries","Review file entries",IF(COUNT(C52:E52)&lt;3,"Not found in file",IF(OR(J52="No macros found",J52="All-zero macros"),"Missing in DB",IF(J52="Name mismatch - review","DB name mismatch",IF(COUNT(F52:H52)&lt;3,"Missing in DB",IF(AND(C52=F52,D52=G52,E52=H52),"Same values","Different values"))))))</x:f>
        <x:v>Not found in file</x:v>
      </x:c>
      <x:c r="J52" s="10" t="str">
        <x:v>No macros found</x:v>
      </x:c>
      <x:c r="K52" s="10"/>
      <x:c r="L52" s="2"/>
      <x:c r="M52" s="2" t="str">
        <x:v>1708ee</x:v>
      </x:c>
      <x:c r="N52" s="10" t="str">
        <x:v>No confirmed name match in the supplied file. Possible names are suggestions only; no macros were inferred.</x:v>
      </x:c>
      <x:c r="O52" s="10" t="str">
        <x:v>BROWNIES (000109)</x:v>
      </x:c>
      <x:c r="P52" s="2" t="str">
        <x:v>663cbedd81c1c6f66696125c</x:v>
      </x:c>
    </x:row>
    <x:row r="53" ht="54" customHeight="1">
      <x:c r="A53" s="10" t="str">
        <x:v>Orange Scented Maple Energy Gel</x:v>
      </x:c>
      <x:c r="B53" s="10" t="str">
        <x:v>Not found in file</x:v>
      </x:c>
      <x:c r="C53" s="11"/>
      <x:c r="D53" s="11"/>
      <x:c r="E53" s="13"/>
      <x:c r="F53" s="11"/>
      <x:c r="G53" s="11"/>
      <x:c r="H53" s="13"/>
      <x:c r="I53" s="10" t="str">
        <x:f>IF(B53="Conflicting file entries","Review file entries",IF(COUNT(C53:E53)&lt;3,"Not found in file",IF(OR(J53="No macros found",J53="All-zero macros"),"Missing in DB",IF(J53="Name mismatch - review","DB name mismatch",IF(COUNT(F53:H53)&lt;3,"Missing in DB",IF(AND(C53=F53,D53=G53,E53=H53),"Same values","Different values"))))))</x:f>
        <x:v>Not found in file</x:v>
      </x:c>
      <x:c r="J53" s="10" t="str">
        <x:v>No macros found</x:v>
      </x:c>
      <x:c r="K53" s="10"/>
      <x:c r="L53" s="2"/>
      <x:c r="M53" s="2" t="str">
        <x:v>c60587</x:v>
      </x:c>
      <x:c r="N53" s="10" t="str">
        <x:v>No confirmed name match in the supplied file. Possible names are suggestions only; no macros were inferred.</x:v>
      </x:c>
      <x:c r="O53" s="10" t="str"/>
      <x:c r="P53" s="2" t="str">
        <x:v>66a3848fa680434b22ca1eae</x:v>
      </x:c>
    </x:row>
    <x:row r="54" ht="54" customHeight="1">
      <x:c r="A54" s="10" t="str">
        <x:v>Orange Spice Bar</x:v>
      </x:c>
      <x:c r="B54" s="10" t="str">
        <x:v>Not found in file</x:v>
      </x:c>
      <x:c r="C54" s="11"/>
      <x:c r="D54" s="11"/>
      <x:c r="E54" s="13"/>
      <x:c r="F54" s="11"/>
      <x:c r="G54" s="11"/>
      <x:c r="H54" s="13"/>
      <x:c r="I54" s="10" t="str">
        <x:f>IF(B54="Conflicting file entries","Review file entries",IF(COUNT(C54:E54)&lt;3,"Not found in file",IF(OR(J54="No macros found",J54="All-zero macros"),"Missing in DB",IF(J54="Name mismatch - review","DB name mismatch",IF(COUNT(F54:H54)&lt;3,"Missing in DB",IF(AND(C54=F54,D54=G54,E54=H54),"Same values","Different values"))))))</x:f>
        <x:v>Not found in file</x:v>
      </x:c>
      <x:c r="J54" s="10" t="str">
        <x:v>No macros found</x:v>
      </x:c>
      <x:c r="K54" s="10"/>
      <x:c r="L54" s="2"/>
      <x:c r="M54" s="2" t="str">
        <x:v>914e37</x:v>
      </x:c>
      <x:c r="N54" s="10" t="str">
        <x:v>No confirmed name match in the supplied file. Possible names are suggestions only; no macros were inferred.</x:v>
      </x:c>
      <x:c r="O54" s="10" t="str"/>
      <x:c r="P54" s="2" t="str">
        <x:v>663cc5b381c1c6f666961dd0</x:v>
      </x:c>
    </x:row>
    <x:row r="55" ht="54" customHeight="1">
      <x:c r="A55" s="10" t="str">
        <x:v>Oreo Cheese Cake</x:v>
      </x:c>
      <x:c r="B55" s="10" t="str">
        <x:v>Not found in file</x:v>
      </x:c>
      <x:c r="C55" s="11"/>
      <x:c r="D55" s="11"/>
      <x:c r="E55" s="13"/>
      <x:c r="F55" s="11"/>
      <x:c r="G55" s="11"/>
      <x:c r="H55" s="13"/>
      <x:c r="I55" s="10" t="str">
        <x:f>IF(B55="Conflicting file entries","Review file entries",IF(COUNT(C55:E55)&lt;3,"Not found in file",IF(OR(J55="No macros found",J55="All-zero macros"),"Missing in DB",IF(J55="Name mismatch - review","DB name mismatch",IF(COUNT(F55:H55)&lt;3,"Missing in DB",IF(AND(C55=F55,D55=G55,E55=H55),"Same values","Different values"))))))</x:f>
        <x:v>Not found in file</x:v>
      </x:c>
      <x:c r="J55" s="10" t="str">
        <x:v>No macros found</x:v>
      </x:c>
      <x:c r="K55" s="10"/>
      <x:c r="L55" s="2"/>
      <x:c r="M55" s="2" t="str">
        <x:v>82d8cd</x:v>
      </x:c>
      <x:c r="N55" s="10" t="str">
        <x:v>No confirmed name match in the supplied file. Possible names are suggestions only; no macros were inferred.</x:v>
      </x:c>
      <x:c r="O55" s="10" t="str"/>
      <x:c r="P55" s="2" t="str">
        <x:v>683eb89b47727c75a8046b42</x:v>
      </x:c>
    </x:row>
    <x:row r="56" ht="54" customHeight="1">
      <x:c r="A56" s="10" t="str">
        <x:v>Oreo Delight</x:v>
      </x:c>
      <x:c r="B56" s="10" t="str">
        <x:v>Not found in file</x:v>
      </x:c>
      <x:c r="C56" s="11"/>
      <x:c r="D56" s="11"/>
      <x:c r="E56" s="13"/>
      <x:c r="F56" s="11" t="n">
        <x:v>16</x:v>
      </x:c>
      <x:c r="G56" s="11" t="n">
        <x:v>12</x:v>
      </x:c>
      <x:c r="H56" s="13" t="n">
        <x:v>8</x:v>
      </x:c>
      <x:c r="I56" s="10" t="str">
        <x:f>IF(B56="Conflicting file entries","Review file entries",IF(COUNT(C56:E56)&lt;3,"Not found in file",IF(OR(J56="No macros found",J56="All-zero macros"),"Missing in DB",IF(J56="Name mismatch - review","DB name mismatch",IF(COUNT(F56:H56)&lt;3,"Missing in DB",IF(AND(C56=F56,D56=G56,E56=H56),"Same values","Different values"))))))</x:f>
        <x:v>Not found in file</x:v>
      </x:c>
      <x:c r="J56" s="10" t="str">
        <x:v>Historical rotation only</x:v>
      </x:c>
      <x:c r="K56" s="10"/>
      <x:c r="L56" s="2"/>
      <x:c r="M56" s="2" t="str">
        <x:v>c4e263</x:v>
      </x:c>
      <x:c r="N56" s="10" t="str">
        <x:v>No confirmed name match in the supplied file. Possible names are suggestions only; no macros were inferred.</x:v>
      </x:c>
      <x:c r="O56" s="10" t="str"/>
      <x:c r="P56" s="2" t="str">
        <x:v>663b6e95a1a69004929dacf6</x:v>
      </x:c>
    </x:row>
    <x:row r="57" ht="54" customHeight="1">
      <x:c r="A57" s="10" t="str">
        <x:v>Peanut Butter Cake</x:v>
      </x:c>
      <x:c r="B57" s="10" t="str">
        <x:v>Not found in file</x:v>
      </x:c>
      <x:c r="C57" s="11"/>
      <x:c r="D57" s="11"/>
      <x:c r="E57" s="13"/>
      <x:c r="F57" s="11" t="n">
        <x:v>14</x:v>
      </x:c>
      <x:c r="G57" s="11" t="n">
        <x:v>9</x:v>
      </x:c>
      <x:c r="H57" s="13" t="n">
        <x:v>6</x:v>
      </x:c>
      <x:c r="I57" s="10" t="str">
        <x:f>IF(B57="Conflicting file entries","Review file entries",IF(COUNT(C57:E57)&lt;3,"Not found in file",IF(OR(J57="No macros found",J57="All-zero macros"),"Missing in DB",IF(J57="Name mismatch - review","DB name mismatch",IF(COUNT(F57:H57)&lt;3,"Missing in DB",IF(AND(C57=F57,D57=G57,E57=H57),"Same values","Different values"))))))</x:f>
        <x:v>Not found in file</x:v>
      </x:c>
      <x:c r="J57" s="10" t="str">
        <x:v>Historical rotation only</x:v>
      </x:c>
      <x:c r="K57" s="10"/>
      <x:c r="L57" s="2"/>
      <x:c r="M57" s="2" t="str">
        <x:v>f92c24</x:v>
      </x:c>
      <x:c r="N57" s="10" t="str">
        <x:v>No confirmed name match in the supplied file. Possible names are suggestions only; no macros were inferred.</x:v>
      </x:c>
      <x:c r="O57" s="10" t="str">
        <x:v>PEANUT BUTTER PANCAKE (000105); PEANUT BUTTER WAFFLE (000342)</x:v>
      </x:c>
      <x:c r="P57" s="2" t="str">
        <x:v>6a311594704e093bb44b604a</x:v>
      </x:c>
    </x:row>
    <x:row r="58" ht="54" customHeight="1">
      <x:c r="A58" s="10" t="str">
        <x:v>Pineapple Bar</x:v>
      </x:c>
      <x:c r="B58" s="10" t="str">
        <x:v>Not found in file</x:v>
      </x:c>
      <x:c r="C58" s="11"/>
      <x:c r="D58" s="11"/>
      <x:c r="E58" s="13"/>
      <x:c r="F58" s="11"/>
      <x:c r="G58" s="11"/>
      <x:c r="H58" s="13"/>
      <x:c r="I58" s="10" t="str">
        <x:f>IF(B58="Conflicting file entries","Review file entries",IF(COUNT(C58:E58)&lt;3,"Not found in file",IF(OR(J58="No macros found",J58="All-zero macros"),"Missing in DB",IF(J58="Name mismatch - review","DB name mismatch",IF(COUNT(F58:H58)&lt;3,"Missing in DB",IF(AND(C58=F58,D58=G58,E58=H58),"Same values","Different values"))))))</x:f>
        <x:v>Not found in file</x:v>
      </x:c>
      <x:c r="J58" s="10" t="str">
        <x:v>No macros found</x:v>
      </x:c>
      <x:c r="K58" s="10"/>
      <x:c r="L58" s="2"/>
      <x:c r="M58" s="2" t="str">
        <x:v>21cd77</x:v>
      </x:c>
      <x:c r="N58" s="10" t="str">
        <x:v>No confirmed name match in the supplied file. Possible names are suggestions only; no macros were inferred.</x:v>
      </x:c>
      <x:c r="O58" s="10" t="str"/>
      <x:c r="P58" s="2" t="str">
        <x:v>665734cf39b140bd17ce003d</x:v>
      </x:c>
    </x:row>
    <x:row r="59" ht="54" customHeight="1">
      <x:c r="A59" s="10" t="str">
        <x:v>Power Date</x:v>
      </x:c>
      <x:c r="B59" s="10" t="str">
        <x:v>Not found in file</x:v>
      </x:c>
      <x:c r="C59" s="11"/>
      <x:c r="D59" s="11"/>
      <x:c r="E59" s="13"/>
      <x:c r="F59" s="11"/>
      <x:c r="G59" s="11"/>
      <x:c r="H59" s="13"/>
      <x:c r="I59" s="10" t="str">
        <x:f>IF(B59="Conflicting file entries","Review file entries",IF(COUNT(C59:E59)&lt;3,"Not found in file",IF(OR(J59="No macros found",J59="All-zero macros"),"Missing in DB",IF(J59="Name mismatch - review","DB name mismatch",IF(COUNT(F59:H59)&lt;3,"Missing in DB",IF(AND(C59=F59,D59=G59,E59=H59),"Same values","Different values"))))))</x:f>
        <x:v>Not found in file</x:v>
      </x:c>
      <x:c r="J59" s="10" t="str">
        <x:v>No macros found</x:v>
      </x:c>
      <x:c r="K59" s="10"/>
      <x:c r="L59" s="2"/>
      <x:c r="M59" s="2" t="str">
        <x:v>863882</x:v>
      </x:c>
      <x:c r="N59" s="10" t="str">
        <x:v>No confirmed name match in the supplied file. Possible names are suggestions only; no macros were inferred.</x:v>
      </x:c>
      <x:c r="O59" s="10" t="str"/>
      <x:c r="P59" s="2" t="str">
        <x:v>6aa0070cd8d86f623f25dcac</x:v>
      </x:c>
    </x:row>
    <x:row r="60" ht="54" customHeight="1">
      <x:c r="A60" s="10" t="str">
        <x:v>Protein Cookie Dough</x:v>
      </x:c>
      <x:c r="B60" s="10" t="str">
        <x:v>Not found in file</x:v>
      </x:c>
      <x:c r="C60" s="11"/>
      <x:c r="D60" s="11"/>
      <x:c r="E60" s="13"/>
      <x:c r="F60" s="11"/>
      <x:c r="G60" s="11"/>
      <x:c r="H60" s="13"/>
      <x:c r="I60" s="10" t="str">
        <x:f>IF(B60="Conflicting file entries","Review file entries",IF(COUNT(C60:E60)&lt;3,"Not found in file",IF(OR(J60="No macros found",J60="All-zero macros"),"Missing in DB",IF(J60="Name mismatch - review","DB name mismatch",IF(COUNT(F60:H60)&lt;3,"Missing in DB",IF(AND(C60=F60,D60=G60,E60=H60),"Same values","Different values"))))))</x:f>
        <x:v>Not found in file</x:v>
      </x:c>
      <x:c r="J60" s="10" t="str">
        <x:v>No macros found</x:v>
      </x:c>
      <x:c r="K60" s="10"/>
      <x:c r="L60" s="2"/>
      <x:c r="M60" s="2" t="str">
        <x:v>e0842c</x:v>
      </x:c>
      <x:c r="N60" s="10" t="str">
        <x:v>No confirmed name match in the supplied file. Possible names are suggestions only; no macros were inferred.</x:v>
      </x:c>
      <x:c r="O60" s="10" t="str"/>
      <x:c r="P60" s="2" t="str">
        <x:v>6ab8a84f506a9cc99106051b</x:v>
      </x:c>
    </x:row>
    <x:row r="61" ht="54" customHeight="1">
      <x:c r="A61" s="10" t="str">
        <x:v>Pumpkin Bar</x:v>
      </x:c>
      <x:c r="B61" s="10" t="str">
        <x:v>Not found in file</x:v>
      </x:c>
      <x:c r="C61" s="11"/>
      <x:c r="D61" s="11"/>
      <x:c r="E61" s="13"/>
      <x:c r="F61" s="11"/>
      <x:c r="G61" s="11"/>
      <x:c r="H61" s="13"/>
      <x:c r="I61" s="10" t="str">
        <x:f>IF(B61="Conflicting file entries","Review file entries",IF(COUNT(C61:E61)&lt;3,"Not found in file",IF(OR(J61="No macros found",J61="All-zero macros"),"Missing in DB",IF(J61="Name mismatch - review","DB name mismatch",IF(COUNT(F61:H61)&lt;3,"Missing in DB",IF(AND(C61=F61,D61=G61,E61=H61),"Same values","Different values"))))))</x:f>
        <x:v>Not found in file</x:v>
      </x:c>
      <x:c r="J61" s="10" t="str">
        <x:v>No macros found</x:v>
      </x:c>
      <x:c r="K61" s="10"/>
      <x:c r="L61" s="2"/>
      <x:c r="M61" s="2" t="str">
        <x:v>1e4ec3</x:v>
      </x:c>
      <x:c r="N61" s="10" t="str">
        <x:v>No confirmed name match in the supplied file. Possible names are suggestions only; no macros were inferred.</x:v>
      </x:c>
      <x:c r="O61" s="10" t="str"/>
      <x:c r="P61" s="2" t="str">
        <x:v>66422e9f9ff53c7315abd1ba</x:v>
      </x:c>
    </x:row>
    <x:row r="62" ht="54" customHeight="1">
      <x:c r="A62" s="10" t="str">
        <x:v>Pumpkin Muffins</x:v>
      </x:c>
      <x:c r="B62" s="10" t="str">
        <x:v>Not found in file</x:v>
      </x:c>
      <x:c r="C62" s="11"/>
      <x:c r="D62" s="11"/>
      <x:c r="E62" s="13"/>
      <x:c r="F62" s="11"/>
      <x:c r="G62" s="11"/>
      <x:c r="H62" s="13"/>
      <x:c r="I62" s="10" t="str">
        <x:f>IF(B62="Conflicting file entries","Review file entries",IF(COUNT(C62:E62)&lt;3,"Not found in file",IF(OR(J62="No macros found",J62="All-zero macros"),"Missing in DB",IF(J62="Name mismatch - review","DB name mismatch",IF(COUNT(F62:H62)&lt;3,"Missing in DB",IF(AND(C62=F62,D62=G62,E62=H62),"Same values","Different values"))))))</x:f>
        <x:v>Not found in file</x:v>
      </x:c>
      <x:c r="J62" s="10" t="str">
        <x:v>No macros found</x:v>
      </x:c>
      <x:c r="K62" s="10"/>
      <x:c r="L62" s="2"/>
      <x:c r="M62" s="2" t="str">
        <x:v>22741a</x:v>
      </x:c>
      <x:c r="N62" s="10" t="str">
        <x:v>No confirmed name match in the supplied file. Possible names are suggestions only; no macros were inferred.</x:v>
      </x:c>
      <x:c r="O62" s="10" t="str">
        <x:v>PUMPKIN ENERGY MUFFIN (000655)</x:v>
      </x:c>
      <x:c r="P62" s="2" t="str">
        <x:v>668ea236bad316b25005caa4</x:v>
      </x:c>
    </x:row>
    <x:row r="63" ht="54" customHeight="1">
      <x:c r="A63" s="10" t="str">
        <x:v>Raspberry Bar</x:v>
      </x:c>
      <x:c r="B63" s="10" t="str">
        <x:v>Not found in file</x:v>
      </x:c>
      <x:c r="C63" s="11"/>
      <x:c r="D63" s="11"/>
      <x:c r="E63" s="13"/>
      <x:c r="F63" s="11" t="n">
        <x:v>0</x:v>
      </x:c>
      <x:c r="G63" s="11" t="n">
        <x:v>0</x:v>
      </x:c>
      <x:c r="H63" s="13" t="n">
        <x:v>0</x:v>
      </x:c>
      <x:c r="I63" s="10" t="str">
        <x:f>IF(B63="Conflicting file entries","Review file entries",IF(COUNT(C63:E63)&lt;3,"Not found in file",IF(OR(J63="No macros found",J63="All-zero macros"),"Missing in DB",IF(J63="Name mismatch - review","DB name mismatch",IF(COUNT(F63:H63)&lt;3,"Missing in DB",IF(AND(C63=F63,D63=G63,E63=H63),"Same values","Different values"))))))</x:f>
        <x:v>Not found in file</x:v>
      </x:c>
      <x:c r="J63" s="10" t="str">
        <x:v>All-zero macros</x:v>
      </x:c>
      <x:c r="K63" s="10"/>
      <x:c r="L63" s="2"/>
      <x:c r="M63" s="2" t="str">
        <x:v>af2d29</x:v>
      </x:c>
      <x:c r="N63" s="10" t="str">
        <x:v>No confirmed name match in the supplied file. Possible names are suggestions only; no macros were inferred.</x:v>
      </x:c>
      <x:c r="O63" s="10" t="str"/>
      <x:c r="P63" s="2" t="str">
        <x:v>664230459ff53c7315abd238</x:v>
      </x:c>
    </x:row>
    <x:row r="64" ht="54" customHeight="1">
      <x:c r="A64" s="10" t="str">
        <x:v>Raspberry Cheesecake Truffle Oat Ball</x:v>
      </x:c>
      <x:c r="B64" s="10" t="str">
        <x:v>Not found in file</x:v>
      </x:c>
      <x:c r="C64" s="11"/>
      <x:c r="D64" s="11"/>
      <x:c r="E64" s="13"/>
      <x:c r="F64" s="11"/>
      <x:c r="G64" s="11"/>
      <x:c r="H64" s="13"/>
      <x:c r="I64" s="10" t="str">
        <x:f>IF(B64="Conflicting file entries","Review file entries",IF(COUNT(C64:E64)&lt;3,"Not found in file",IF(OR(J64="No macros found",J64="All-zero macros"),"Missing in DB",IF(J64="Name mismatch - review","DB name mismatch",IF(COUNT(F64:H64)&lt;3,"Missing in DB",IF(AND(C64=F64,D64=G64,E64=H64),"Same values","Different values"))))))</x:f>
        <x:v>Not found in file</x:v>
      </x:c>
      <x:c r="J64" s="10" t="str">
        <x:v>No macros found</x:v>
      </x:c>
      <x:c r="K64" s="10"/>
      <x:c r="L64" s="2"/>
      <x:c r="M64" s="2" t="str">
        <x:v>e6ca43</x:v>
      </x:c>
      <x:c r="N64" s="10" t="str">
        <x:v>No confirmed name match in the supplied file. Possible names are suggestions only; no macros were inferred.</x:v>
      </x:c>
      <x:c r="O64" s="10" t="str"/>
      <x:c r="P64" s="2" t="str">
        <x:v>66422a216e2be5b72e082654</x:v>
      </x:c>
    </x:row>
    <x:row r="65" ht="54" customHeight="1">
      <x:c r="A65" s="10" t="str">
        <x:v>Raspberry Swirl Bar</x:v>
      </x:c>
      <x:c r="B65" s="10" t="str">
        <x:v>Not found in file</x:v>
      </x:c>
      <x:c r="C65" s="11"/>
      <x:c r="D65" s="11"/>
      <x:c r="E65" s="13"/>
      <x:c r="F65" s="11"/>
      <x:c r="G65" s="11"/>
      <x:c r="H65" s="13"/>
      <x:c r="I65" s="10" t="str">
        <x:f>IF(B65="Conflicting file entries","Review file entries",IF(COUNT(C65:E65)&lt;3,"Not found in file",IF(OR(J65="No macros found",J65="All-zero macros"),"Missing in DB",IF(J65="Name mismatch - review","DB name mismatch",IF(COUNT(F65:H65)&lt;3,"Missing in DB",IF(AND(C65=F65,D65=G65,E65=H65),"Same values","Different values"))))))</x:f>
        <x:v>Not found in file</x:v>
      </x:c>
      <x:c r="J65" s="10" t="str">
        <x:v>No macros found</x:v>
      </x:c>
      <x:c r="K65" s="10"/>
      <x:c r="L65" s="2"/>
      <x:c r="M65" s="2" t="str">
        <x:v>d161bb</x:v>
      </x:c>
      <x:c r="N65" s="10" t="str">
        <x:v>No confirmed name match in the supplied file. Possible names are suggestions only; no macros were inferred.</x:v>
      </x:c>
      <x:c r="O65" s="10" t="str"/>
      <x:c r="P65" s="2" t="str">
        <x:v>6a254b2abeae247b5e42735f</x:v>
      </x:c>
    </x:row>
    <x:row r="66" ht="54" customHeight="1">
      <x:c r="A66" s="10" t="str">
        <x:v>Raspberry Swirl Cake</x:v>
      </x:c>
      <x:c r="B66" s="10" t="str">
        <x:v>Not found in file</x:v>
      </x:c>
      <x:c r="C66" s="11"/>
      <x:c r="D66" s="11"/>
      <x:c r="E66" s="13"/>
      <x:c r="F66" s="11"/>
      <x:c r="G66" s="11"/>
      <x:c r="H66" s="13"/>
      <x:c r="I66" s="10" t="str">
        <x:f>IF(B66="Conflicting file entries","Review file entries",IF(COUNT(C66:E66)&lt;3,"Not found in file",IF(OR(J66="No macros found",J66="All-zero macros"),"Missing in DB",IF(J66="Name mismatch - review","DB name mismatch",IF(COUNT(F66:H66)&lt;3,"Missing in DB",IF(AND(C66=F66,D66=G66,E66=H66),"Same values","Different values"))))))</x:f>
        <x:v>Not found in file</x:v>
      </x:c>
      <x:c r="J66" s="10" t="str">
        <x:v>No macros found</x:v>
      </x:c>
      <x:c r="K66" s="10"/>
      <x:c r="L66" s="2"/>
      <x:c r="M66" s="2" t="str">
        <x:v>49e70e</x:v>
      </x:c>
      <x:c r="N66" s="10" t="str">
        <x:v>No confirmed name match in the supplied file. Possible names are suggestions only; no macros were inferred.</x:v>
      </x:c>
      <x:c r="O66" s="10" t="str"/>
      <x:c r="P66" s="2" t="str">
        <x:v>664231bc6e2be5b72e0839aa</x:v>
      </x:c>
    </x:row>
    <x:row r="67" ht="54" customHeight="1">
      <x:c r="A67" s="10" t="str">
        <x:v>Rice Krispy Treat</x:v>
      </x:c>
      <x:c r="B67" s="10" t="str">
        <x:v>Not found in file</x:v>
      </x:c>
      <x:c r="C67" s="11"/>
      <x:c r="D67" s="11"/>
      <x:c r="E67" s="13"/>
      <x:c r="F67" s="11"/>
      <x:c r="G67" s="11"/>
      <x:c r="H67" s="13"/>
      <x:c r="I67" s="10" t="str">
        <x:f>IF(B67="Conflicting file entries","Review file entries",IF(COUNT(C67:E67)&lt;3,"Not found in file",IF(OR(J67="No macros found",J67="All-zero macros"),"Missing in DB",IF(J67="Name mismatch - review","DB name mismatch",IF(COUNT(F67:H67)&lt;3,"Missing in DB",IF(AND(C67=F67,D67=G67,E67=H67),"Same values","Different values"))))))</x:f>
        <x:v>Not found in file</x:v>
      </x:c>
      <x:c r="J67" s="10" t="str">
        <x:v>No macros found</x:v>
      </x:c>
      <x:c r="K67" s="10"/>
      <x:c r="L67" s="2"/>
      <x:c r="M67" s="2" t="str">
        <x:v>0897c0</x:v>
      </x:c>
      <x:c r="N67" s="10" t="str">
        <x:v>No confirmed name match in the supplied file. Possible names are suggestions only; no macros were inferred.</x:v>
      </x:c>
      <x:c r="O67" s="10" t="str"/>
      <x:c r="P67" s="2" t="str">
        <x:v>698a0ecc72d5a9e00bc32497</x:v>
      </x:c>
    </x:row>
    <x:row r="68" ht="54" customHeight="1">
      <x:c r="A68" s="10" t="str">
        <x:v>Saffron Cheesecake</x:v>
      </x:c>
      <x:c r="B68" s="10" t="str">
        <x:v>Not found in file</x:v>
      </x:c>
      <x:c r="C68" s="11"/>
      <x:c r="D68" s="11"/>
      <x:c r="E68" s="13"/>
      <x:c r="F68" s="11" t="n">
        <x:v>0</x:v>
      </x:c>
      <x:c r="G68" s="11" t="n">
        <x:v>0</x:v>
      </x:c>
      <x:c r="H68" s="13" t="n">
        <x:v>0</x:v>
      </x:c>
      <x:c r="I68" s="10" t="str">
        <x:f>IF(B68="Conflicting file entries","Review file entries",IF(COUNT(C68:E68)&lt;3,"Not found in file",IF(OR(J68="No macros found",J68="All-zero macros"),"Missing in DB",IF(J68="Name mismatch - review","DB name mismatch",IF(COUNT(F68:H68)&lt;3,"Missing in DB",IF(AND(C68=F68,D68=G68,E68=H68),"Same values","Different values"))))))</x:f>
        <x:v>Not found in file</x:v>
      </x:c>
      <x:c r="J68" s="10" t="str">
        <x:v>All-zero macros</x:v>
      </x:c>
      <x:c r="K68" s="10"/>
      <x:c r="L68" s="2"/>
      <x:c r="M68" s="2" t="str">
        <x:v>1d72d2</x:v>
      </x:c>
      <x:c r="N68" s="10" t="str">
        <x:v>No confirmed name match in the supplied file. Possible names are suggestions only; no macros were inferred.</x:v>
      </x:c>
      <x:c r="O68" s="10" t="str"/>
      <x:c r="P68" s="2" t="str">
        <x:v>697f84240d8ad7373000b29c</x:v>
      </x:c>
    </x:row>
    <x:row r="69" ht="54" customHeight="1">
      <x:c r="A69" s="10" t="str">
        <x:v>Salted Apple Bar</x:v>
      </x:c>
      <x:c r="B69" s="10" t="str">
        <x:v>Not found in file</x:v>
      </x:c>
      <x:c r="C69" s="11"/>
      <x:c r="D69" s="11"/>
      <x:c r="E69" s="13"/>
      <x:c r="F69" s="11"/>
      <x:c r="G69" s="11"/>
      <x:c r="H69" s="13"/>
      <x:c r="I69" s="10" t="str">
        <x:f>IF(B69="Conflicting file entries","Review file entries",IF(COUNT(C69:E69)&lt;3,"Not found in file",IF(OR(J69="No macros found",J69="All-zero macros"),"Missing in DB",IF(J69="Name mismatch - review","DB name mismatch",IF(COUNT(F69:H69)&lt;3,"Missing in DB",IF(AND(C69=F69,D69=G69,E69=H69),"Same values","Different values"))))))</x:f>
        <x:v>Not found in file</x:v>
      </x:c>
      <x:c r="J69" s="10" t="str">
        <x:v>No macros found</x:v>
      </x:c>
      <x:c r="K69" s="10"/>
      <x:c r="L69" s="2"/>
      <x:c r="M69" s="2" t="str">
        <x:v>5af3ae</x:v>
      </x:c>
      <x:c r="N69" s="10" t="str">
        <x:v>No confirmed name match in the supplied file. Possible names are suggestions only; no macros were inferred.</x:v>
      </x:c>
      <x:c r="O69" s="10" t="str"/>
      <x:c r="P69" s="2" t="str">
        <x:v>66422f356e2be5b72e0832ca</x:v>
      </x:c>
    </x:row>
    <x:row r="70" ht="54" customHeight="1">
      <x:c r="A70" s="10" t="str">
        <x:v>Salted Apple Cake</x:v>
      </x:c>
      <x:c r="B70" s="10" t="str">
        <x:v>Not found in file</x:v>
      </x:c>
      <x:c r="C70" s="11"/>
      <x:c r="D70" s="11"/>
      <x:c r="E70" s="13"/>
      <x:c r="F70" s="11"/>
      <x:c r="G70" s="11"/>
      <x:c r="H70" s="13"/>
      <x:c r="I70" s="10" t="str">
        <x:f>IF(B70="Conflicting file entries","Review file entries",IF(COUNT(C70:E70)&lt;3,"Not found in file",IF(OR(J70="No macros found",J70="All-zero macros"),"Missing in DB",IF(J70="Name mismatch - review","DB name mismatch",IF(COUNT(F70:H70)&lt;3,"Missing in DB",IF(AND(C70=F70,D70=G70,E70=H70),"Same values","Different values"))))))</x:f>
        <x:v>Not found in file</x:v>
      </x:c>
      <x:c r="J70" s="10" t="str">
        <x:v>No macros found</x:v>
      </x:c>
      <x:c r="K70" s="10"/>
      <x:c r="L70" s="2"/>
      <x:c r="M70" s="2" t="str">
        <x:v>6033de</x:v>
      </x:c>
      <x:c r="N70" s="10" t="str">
        <x:v>No confirmed name match in the supplied file. Possible names are suggestions only; no macros were inferred.</x:v>
      </x:c>
      <x:c r="O70" s="10" t="str"/>
      <x:c r="P70" s="2" t="str">
        <x:v>6a6f28ed633e61666f0d26fd</x:v>
      </x:c>
    </x:row>
    <x:row r="71" ht="54" customHeight="1">
      <x:c r="A71" s="10" t="str">
        <x:v>Salted Apple Pancake</x:v>
      </x:c>
      <x:c r="B71" s="10" t="str">
        <x:v>Not found in file</x:v>
      </x:c>
      <x:c r="C71" s="11"/>
      <x:c r="D71" s="11"/>
      <x:c r="E71" s="13"/>
      <x:c r="F71" s="11"/>
      <x:c r="G71" s="11"/>
      <x:c r="H71" s="13"/>
      <x:c r="I71" s="10" t="str">
        <x:f>IF(B71="Conflicting file entries","Review file entries",IF(COUNT(C71:E71)&lt;3,"Not found in file",IF(OR(J71="No macros found",J71="All-zero macros"),"Missing in DB",IF(J71="Name mismatch - review","DB name mismatch",IF(COUNT(F71:H71)&lt;3,"Missing in DB",IF(AND(C71=F71,D71=G71,E71=H71),"Same values","Different values"))))))</x:f>
        <x:v>Not found in file</x:v>
      </x:c>
      <x:c r="J71" s="10" t="str">
        <x:v>No macros found</x:v>
      </x:c>
      <x:c r="K71" s="10"/>
      <x:c r="L71" s="2"/>
      <x:c r="M71" s="2" t="str">
        <x:v>8caff5</x:v>
      </x:c>
      <x:c r="N71" s="10" t="str">
        <x:v>No confirmed name match in the supplied file. Possible names are suggestions only; no macros were inferred.</x:v>
      </x:c>
      <x:c r="O71" s="10" t="str"/>
      <x:c r="P71" s="2" t="str">
        <x:v>667134daa70dd5e657b6d20f</x:v>
      </x:c>
    </x:row>
    <x:row r="72" ht="54" customHeight="1">
      <x:c r="A72" s="10" t="str">
        <x:v>Strawberry Date Gel</x:v>
      </x:c>
      <x:c r="B72" s="10" t="str">
        <x:v>Not found in file</x:v>
      </x:c>
      <x:c r="C72" s="11"/>
      <x:c r="D72" s="11"/>
      <x:c r="E72" s="13"/>
      <x:c r="F72" s="11"/>
      <x:c r="G72" s="11"/>
      <x:c r="H72" s="13"/>
      <x:c r="I72" s="10" t="str">
        <x:f>IF(B72="Conflicting file entries","Review file entries",IF(COUNT(C72:E72)&lt;3,"Not found in file",IF(OR(J72="No macros found",J72="All-zero macros"),"Missing in DB",IF(J72="Name mismatch - review","DB name mismatch",IF(COUNT(F72:H72)&lt;3,"Missing in DB",IF(AND(C72=F72,D72=G72,E72=H72),"Same values","Different values"))))))</x:f>
        <x:v>Not found in file</x:v>
      </x:c>
      <x:c r="J72" s="10" t="str">
        <x:v>No macros found</x:v>
      </x:c>
      <x:c r="K72" s="10"/>
      <x:c r="L72" s="2"/>
      <x:c r="M72" s="2" t="str">
        <x:v>203de1</x:v>
      </x:c>
      <x:c r="N72" s="10" t="str">
        <x:v>No confirmed name match in the supplied file. Possible names are suggestions only; no macros were inferred.</x:v>
      </x:c>
      <x:c r="O72" s="10" t="str"/>
      <x:c r="P72" s="2" t="str">
        <x:v>66a381f6d2504e6cc2e896ab</x:v>
      </x:c>
    </x:row>
    <x:row r="73" ht="54" customHeight="1">
      <x:c r="A73" s="10" t="str">
        <x:v>Tahini Espresso Muffins</x:v>
      </x:c>
      <x:c r="B73" s="10" t="str">
        <x:v>Not found in file</x:v>
      </x:c>
      <x:c r="C73" s="11"/>
      <x:c r="D73" s="11"/>
      <x:c r="E73" s="13"/>
      <x:c r="F73" s="11"/>
      <x:c r="G73" s="11"/>
      <x:c r="H73" s="13"/>
      <x:c r="I73" s="10" t="str">
        <x:f>IF(B73="Conflicting file entries","Review file entries",IF(COUNT(C73:E73)&lt;3,"Not found in file",IF(OR(J73="No macros found",J73="All-zero macros"),"Missing in DB",IF(J73="Name mismatch - review","DB name mismatch",IF(COUNT(F73:H73)&lt;3,"Missing in DB",IF(AND(C73=F73,D73=G73,E73=H73),"Same values","Different values"))))))</x:f>
        <x:v>Not found in file</x:v>
      </x:c>
      <x:c r="J73" s="10" t="str">
        <x:v>No macros found</x:v>
      </x:c>
      <x:c r="K73" s="10"/>
      <x:c r="L73" s="2"/>
      <x:c r="M73" s="2" t="str">
        <x:v>9624ff</x:v>
      </x:c>
      <x:c r="N73" s="10" t="str">
        <x:v>No confirmed name match in the supplied file. Possible names are suggestions only; no macros were inferred.</x:v>
      </x:c>
      <x:c r="O73" s="10" t="str"/>
      <x:c r="P73" s="2" t="str">
        <x:v>698a0b0a9f2dd12b71a58755</x:v>
      </x:c>
    </x:row>
    <x:row r="74" ht="54" customHeight="1">
      <x:c r="A74" s="10" t="str">
        <x:v>Vanilla Cookies</x:v>
      </x:c>
      <x:c r="B74" s="10" t="str">
        <x:v>Not found in file</x:v>
      </x:c>
      <x:c r="C74" s="11"/>
      <x:c r="D74" s="11"/>
      <x:c r="E74" s="13"/>
      <x:c r="F74" s="11" t="n">
        <x:v>0</x:v>
      </x:c>
      <x:c r="G74" s="11" t="n">
        <x:v>0</x:v>
      </x:c>
      <x:c r="H74" s="13" t="n">
        <x:v>0</x:v>
      </x:c>
      <x:c r="I74" s="10" t="str">
        <x:f>IF(B74="Conflicting file entries","Review file entries",IF(COUNT(C74:E74)&lt;3,"Not found in file",IF(OR(J74="No macros found",J74="All-zero macros"),"Missing in DB",IF(J74="Name mismatch - review","DB name mismatch",IF(COUNT(F74:H74)&lt;3,"Missing in DB",IF(AND(C74=F74,D74=G74,E74=H74),"Same values","Different values"))))))</x:f>
        <x:v>Not found in file</x:v>
      </x:c>
      <x:c r="J74" s="10" t="str">
        <x:v>All-zero macros</x:v>
      </x:c>
      <x:c r="K74" s="10"/>
      <x:c r="L74" s="2"/>
      <x:c r="M74" s="2" t="str">
        <x:v>53608a</x:v>
      </x:c>
      <x:c r="N74" s="10" t="str">
        <x:v>No confirmed name match in the supplied file. Possible names are suggestions only; no macros were inferred.</x:v>
      </x:c>
      <x:c r="O74" s="10" t="str"/>
      <x:c r="P74" s="2" t="str">
        <x:v>669677cb4e8397dc39cab2e8</x:v>
      </x:c>
    </x:row>
    <x:row r="75" ht="54" customHeight="1">
      <x:c r="A75" s="10" t="str">
        <x:v>White Peanut Butter Truffle</x:v>
      </x:c>
      <x:c r="B75" s="10" t="str">
        <x:v>Not found in file</x:v>
      </x:c>
      <x:c r="C75" s="11"/>
      <x:c r="D75" s="11"/>
      <x:c r="E75" s="13"/>
      <x:c r="F75" s="11"/>
      <x:c r="G75" s="11"/>
      <x:c r="H75" s="13"/>
      <x:c r="I75" s="10" t="str">
        <x:f>IF(B75="Conflicting file entries","Review file entries",IF(COUNT(C75:E75)&lt;3,"Not found in file",IF(OR(J75="No macros found",J75="All-zero macros"),"Missing in DB",IF(J75="Name mismatch - review","DB name mismatch",IF(COUNT(F75:H75)&lt;3,"Missing in DB",IF(AND(C75=F75,D75=G75,E75=H75),"Same values","Different values"))))))</x:f>
        <x:v>Not found in file</x:v>
      </x:c>
      <x:c r="J75" s="10" t="str">
        <x:v>No macros found</x:v>
      </x:c>
      <x:c r="K75" s="10"/>
      <x:c r="L75" s="2"/>
      <x:c r="M75" s="2" t="str">
        <x:v>f26ca6</x:v>
      </x:c>
      <x:c r="N75" s="10" t="str">
        <x:v>No confirmed name match in the supplied file. Possible names are suggestions only; no macros were inferred.</x:v>
      </x:c>
      <x:c r="O75" s="10" t="str">
        <x:v>CHOCO PEANUT BUTTER TRUFFLE (000392); PEANUT BUTTER PANCAKE (000105)</x:v>
      </x:c>
      <x:c r="P75" s="2" t="str">
        <x:v>663cb76cdfa45d33ea9eb6db</x:v>
      </x:c>
    </x:row>
  </x:sheetData>
  <x:conditionalFormatting sqref="I10:I75">
    <x:cfRule type="containsText" dxfId="0" priority="1" operator="containsText" text="Missing in DB"/>
    <x:cfRule type="containsText" dxfId="1" priority="2" operator="containsText" text="Different values"/>
    <x:cfRule type="containsText" dxfId="2" priority="3" operator="containsText" text="DB name mismatch"/>
  </x:conditionalFormatting>
  <x:conditionalFormatting sqref="B10:B75">
    <x:cfRule type="containsText" dxfId="3" priority="4" operator="containsText" text="Not found"/>
    <x:cfRule type="containsText" dxfId="4" priority="5" operator="containsText" text="Name variant"/>
  </x:conditionalFormatting>
  <x:pageMargins left="0.7" right="0.7" top="0.75" bottom="0.75" header="0.3" footer="0.3"/>
  <x:tableParts count="1">
    <x:tablePart xmlns:r="http://schemas.openxmlformats.org/officeDocument/2006/relationships" r:id="R8406ade7c05248a6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14" hidden="0" customWidth="1"/>
    <x:col min="5" max="5" width="100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29" hidden="0" customWidth="1"/>
    <x:col min="11" max="11" width="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4" t="str">
        <x:v>Your supplied snack macro list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Source: Meals List 10-26-2026.xls, supplied by you. All 77 records, original names, meal numbers, ingredients and C/P/F values are retained.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4" customHeight="1">
      <x:c r="A4" s="6" t="str">
        <x:v>Meal numbers are text to preserve leading zeroes. The source export does not state serving sizes.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4" customHeight="1">
      <x:c r="A5" s="6" t="str">
        <x:v>Alternate file entry = another record with a similar Supy name; the exact-named record is used in the comparison.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 ht="24" customHeight="1">
      <x:c r="A6" s="7" t="str">
        <x:v>File records</x:v>
      </x:c>
      <x:c r="B6" s="7" t="n">
        <x:f>COUNTA(C10:C86)</x:f>
        <x:v>77</x:v>
      </x:c>
      <x:c r="C6" s="7"/>
      <x:c r="D6" s="7" t="str">
        <x:v>Selected matches</x:v>
      </x:c>
      <x:c r="E6" s="7"/>
      <x:c r="F6" s="7" t="n">
        <x:f>COUNTIFS(J10:J86,"Matched to Supy snack")</x:f>
        <x:v>24</x:v>
      </x:c>
      <x:c r="G6" s="7"/>
      <x:c r="H6" s="7"/>
      <x:c r="I6" s="7" t="str">
        <x:v>No Supy snack match</x:v>
      </x:c>
      <x:c r="J6" s="7" t="n">
        <x:f>COUNTIFS(J10:J86,"No Supy name match")+COUNTIFS(J10:J86,"Other Supy categories only")</x:f>
        <x:v>52</x:v>
      </x:c>
      <x:c r="K6" s="7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40" customHeight="1">
      <x:c r="A9" s="20" t="str">
        <x:v>Record #</x:v>
      </x:c>
      <x:c r="B9" s="20" t="str">
        <x:v>Meal number</x:v>
      </x:c>
      <x:c r="C9" s="20" t="str">
        <x:v>Snack name</x:v>
      </x:c>
      <x:c r="D9" s="20" t="str">
        <x:v>Meal type</x:v>
      </x:c>
      <x:c r="E9" s="20" t="str">
        <x:v>Ingredients</x:v>
      </x:c>
      <x:c r="F9" s="20" t="str">
        <x:v>Carbs (C)</x:v>
      </x:c>
      <x:c r="G9" s="20" t="str">
        <x:v>Protein (P)</x:v>
      </x:c>
      <x:c r="H9" s="20" t="str">
        <x:v>Fat (F)</x:v>
      </x:c>
      <x:c r="I9" s="20" t="str">
        <x:v>Supy Snacks names</x:v>
      </x:c>
      <x:c r="J9" s="20" t="str">
        <x:v>Match status</x:v>
      </x:c>
      <x:c r="K9" s="20" t="str">
        <x:v>Related Supy recipes in other categories</x:v>
      </x:c>
    </x:row>
    <x:row r="10" ht="66" customHeight="1">
      <x:c r="A10" s="2" t="n">
        <x:v>1</x:v>
      </x:c>
      <x:c r="B10" s="8" t="str">
        <x:v>000074</x:v>
      </x:c>
      <x:c r="C10" s="10" t="str">
        <x:v>BANANA CAKE MUFFIN</x:v>
      </x:c>
      <x:c r="D10" s="2" t="str">
        <x:v>Snack</x:v>
      </x:c>
      <x:c r="E10" s="10" t="str">
        <x:v>Egg, Banana, Vanilla, Brown Sugar, Cinnamon, Gluten Free Flour, Raisin, Almond Milk, Protein Powder</x:v>
      </x:c>
      <x:c r="F10" s="9" t="n">
        <x:v>14</x:v>
      </x:c>
      <x:c r="G10" s="9" t="n">
        <x:v>10</x:v>
      </x:c>
      <x:c r="H10" s="9" t="n">
        <x:v>8</x:v>
      </x:c>
      <x:c r="I10" s="10" t="str"/>
      <x:c r="J10" s="10" t="str">
        <x:v>No Supy name match</x:v>
      </x:c>
      <x:c r="K10" s="10" t="str"/>
    </x:row>
    <x:row r="11" ht="66" customHeight="1">
      <x:c r="A11" s="2" t="n">
        <x:v>2</x:v>
      </x:c>
      <x:c r="B11" s="8" t="str">
        <x:v>000077</x:v>
      </x:c>
      <x:c r="C11" s="10" t="str">
        <x:v>CARROT CAKE MUFFIN</x:v>
      </x:c>
      <x:c r="D11" s="2" t="str">
        <x:v>Snack</x:v>
      </x:c>
      <x:c r="E11" s="10" t="str">
        <x:v>Carrot, Walnut, Cinnamon, Nutmeg, Gluten Free Flour, Protein Powder, Brown Sugar, Egg, Almond, Raisins, Vanilla</x:v>
      </x:c>
      <x:c r="F11" s="9" t="n">
        <x:v>14</x:v>
      </x:c>
      <x:c r="G11" s="9" t="n">
        <x:v>10</x:v>
      </x:c>
      <x:c r="H11" s="9" t="n">
        <x:v>7</x:v>
      </x:c>
      <x:c r="I11" s="10" t="str">
        <x:v>Carrot Cake Muffins</x:v>
      </x:c>
      <x:c r="J11" s="10" t="str">
        <x:v>Matched to Supy snack</x:v>
      </x:c>
      <x:c r="K11" s="10" t="str">
        <x:v>Carrot Cake Muffins (uncategorized)</x:v>
      </x:c>
    </x:row>
    <x:row r="12" ht="66" customHeight="1">
      <x:c r="A12" s="2" t="n">
        <x:v>3</x:v>
      </x:c>
      <x:c r="B12" s="8" t="str">
        <x:v>000078</x:v>
      </x:c>
      <x:c r="C12" s="10" t="str">
        <x:v>CARROT CAKE COOKIES</x:v>
      </x:c>
      <x:c r="D12" s="2" t="str">
        <x:v>Snack</x:v>
      </x:c>
      <x:c r="E12" s="10" t="str">
        <x:v>Carrot, Walnut, Dates, Cinnamon, Nutmeg, Salt, Coconut, Protein Powder</x:v>
      </x:c>
      <x:c r="F12" s="9" t="n">
        <x:v>15</x:v>
      </x:c>
      <x:c r="G12" s="9" t="n">
        <x:v>10</x:v>
      </x:c>
      <x:c r="H12" s="9" t="n">
        <x:v>8</x:v>
      </x:c>
      <x:c r="I12" s="10" t="str"/>
      <x:c r="J12" s="10" t="str">
        <x:v>No Supy name match</x:v>
      </x:c>
      <x:c r="K12" s="10" t="str"/>
    </x:row>
    <x:row r="13" ht="66" customHeight="1">
      <x:c r="A13" s="2" t="n">
        <x:v>4</x:v>
      </x:c>
      <x:c r="B13" s="8" t="str">
        <x:v>000081</x:v>
      </x:c>
      <x:c r="C13" s="10" t="str">
        <x:v>CHOCO BANANA CAKE</x:v>
      </x:c>
      <x:c r="D13" s="2" t="str">
        <x:v>Snack</x:v>
      </x:c>
      <x:c r="E13" s="10" t="str">
        <x:v>Cocoa, Butter, Coconut Milk, Honey, Salt, Egg, Protein Powder, Coconut, All Fruits, Banana</x:v>
      </x:c>
      <x:c r="F13" s="9" t="n">
        <x:v>14</x:v>
      </x:c>
      <x:c r="G13" s="9" t="n">
        <x:v>11</x:v>
      </x:c>
      <x:c r="H13" s="9" t="n">
        <x:v>7</x:v>
      </x:c>
      <x:c r="I13" s="10" t="str"/>
      <x:c r="J13" s="10" t="str">
        <x:v>No Supy name match</x:v>
      </x:c>
      <x:c r="K13" s="10" t="str"/>
    </x:row>
    <x:row r="14" ht="66" customHeight="1">
      <x:c r="A14" s="2" t="n">
        <x:v>5</x:v>
      </x:c>
      <x:c r="B14" s="8" t="str">
        <x:v>000099</x:v>
      </x:c>
      <x:c r="C14" s="10" t="str">
        <x:v>APRICOT MUFFIN</x:v>
      </x:c>
      <x:c r="D14" s="2" t="str">
        <x:v>Snack</x:v>
      </x:c>
      <x:c r="E14" s="10" t="str">
        <x:v>Butter, Sugar, Coconut Milk, Honey, Egg, Coconut, Apricot</x:v>
      </x:c>
      <x:c r="F14" s="9" t="n">
        <x:v>15</x:v>
      </x:c>
      <x:c r="G14" s="9" t="n">
        <x:v>10</x:v>
      </x:c>
      <x:c r="H14" s="9" t="n">
        <x:v>8</x:v>
      </x:c>
      <x:c r="I14" s="10" t="str">
        <x:v>Apricot Muffin</x:v>
      </x:c>
      <x:c r="J14" s="10" t="str">
        <x:v>Matched to Supy snack</x:v>
      </x:c>
      <x:c r="K14" s="10" t="str"/>
    </x:row>
    <x:row r="15" ht="66" customHeight="1">
      <x:c r="A15" s="2" t="n">
        <x:v>6</x:v>
      </x:c>
      <x:c r="B15" s="8" t="str">
        <x:v>000100</x:v>
      </x:c>
      <x:c r="C15" s="10" t="str">
        <x:v>Cranberry Treats</x:v>
      </x:c>
      <x:c r="D15" s="2" t="str">
        <x:v>Snack</x:v>
      </x:c>
      <x:c r="E15" s="10" t="str">
        <x:v>Dates, Almond, Protein Powder, Cashew, Raisins, Cranberry</x:v>
      </x:c>
      <x:c r="F15" s="9" t="n">
        <x:v>14</x:v>
      </x:c>
      <x:c r="G15" s="9" t="n">
        <x:v>7</x:v>
      </x:c>
      <x:c r="H15" s="9" t="n">
        <x:v>4</x:v>
      </x:c>
      <x:c r="I15" s="10" t="str"/>
      <x:c r="J15" s="10" t="str">
        <x:v>No Supy name match</x:v>
      </x:c>
      <x:c r="K15" s="10" t="str"/>
    </x:row>
    <x:row r="16" ht="66" customHeight="1">
      <x:c r="A16" s="2" t="n">
        <x:v>7</x:v>
      </x:c>
      <x:c r="B16" s="8" t="str">
        <x:v>000101</x:v>
      </x:c>
      <x:c r="C16" s="10" t="str">
        <x:v>Apricot Treat</x:v>
      </x:c>
      <x:c r="D16" s="2" t="str">
        <x:v>Snack</x:v>
      </x:c>
      <x:c r="E16" s="10" t="str">
        <x:v>Dates, Walnut, Protein Powder, Raisins, Apricot</x:v>
      </x:c>
      <x:c r="F16" s="9" t="n">
        <x:v>14</x:v>
      </x:c>
      <x:c r="G16" s="9" t="n">
        <x:v>10</x:v>
      </x:c>
      <x:c r="H16" s="9" t="n">
        <x:v>6</x:v>
      </x:c>
      <x:c r="I16" s="10" t="str"/>
      <x:c r="J16" s="10" t="str">
        <x:v>No Supy name match</x:v>
      </x:c>
      <x:c r="K16" s="10" t="str"/>
    </x:row>
    <x:row r="17" ht="66" customHeight="1">
      <x:c r="A17" s="2" t="n">
        <x:v>8</x:v>
      </x:c>
      <x:c r="B17" s="8" t="str">
        <x:v>000103</x:v>
      </x:c>
      <x:c r="C17" s="10" t="str">
        <x:v>CHOCO OAT COOKIES</x:v>
      </x:c>
      <x:c r="D17" s="2" t="str">
        <x:v>Snack</x:v>
      </x:c>
      <x:c r="E17" s="10" t="str">
        <x:v>Egg, Brown Sugar, Protein Powder, Gluten Free Flour, Butter, Dairy, Oats</x:v>
      </x:c>
      <x:c r="F17" s="9" t="n">
        <x:v>16</x:v>
      </x:c>
      <x:c r="G17" s="9" t="n">
        <x:v>12</x:v>
      </x:c>
      <x:c r="H17" s="9" t="n">
        <x:v>6</x:v>
      </x:c>
      <x:c r="I17" s="10" t="str"/>
      <x:c r="J17" s="10" t="str">
        <x:v>No Supy name match</x:v>
      </x:c>
      <x:c r="K17" s="10" t="str"/>
    </x:row>
    <x:row r="18" ht="66" customHeight="1">
      <x:c r="A18" s="2" t="n">
        <x:v>9</x:v>
      </x:c>
      <x:c r="B18" s="8" t="str">
        <x:v>000104</x:v>
      </x:c>
      <x:c r="C18" s="10" t="str">
        <x:v>Cashew Cookies</x:v>
      </x:c>
      <x:c r="D18" s="2" t="str">
        <x:v>Snack</x:v>
      </x:c>
      <x:c r="E18" s="10" t="str">
        <x:v>Egg, Protein Powder, Gluten Free Flour, Butter, All Nuts, Cashew</x:v>
      </x:c>
      <x:c r="F18" s="9" t="n">
        <x:v>10</x:v>
      </x:c>
      <x:c r="G18" s="9" t="n">
        <x:v>10</x:v>
      </x:c>
      <x:c r="H18" s="9" t="n">
        <x:v>7</x:v>
      </x:c>
      <x:c r="I18" s="10" t="str"/>
      <x:c r="J18" s="10" t="str">
        <x:v>No Supy name match</x:v>
      </x:c>
      <x:c r="K18" s="10" t="str"/>
    </x:row>
    <x:row r="19" ht="66" customHeight="1">
      <x:c r="A19" s="2" t="n">
        <x:v>10</x:v>
      </x:c>
      <x:c r="B19" s="8" t="str">
        <x:v>000105</x:v>
      </x:c>
      <x:c r="C19" s="10" t="str">
        <x:v>PEANUT BUTTER PANCAKE</x:v>
      </x:c>
      <x:c r="D19" s="2" t="str">
        <x:v>Snack</x:v>
      </x:c>
      <x:c r="E19" s="10" t="str">
        <x:v>Egg, Brown Sugar, Protein Powder, Gluten Free Flour, Butter, Peanut, Peanut Butter, All Nuts</x:v>
      </x:c>
      <x:c r="F19" s="9" t="n">
        <x:v>14</x:v>
      </x:c>
      <x:c r="G19" s="9" t="n">
        <x:v>10</x:v>
      </x:c>
      <x:c r="H19" s="9" t="n">
        <x:v>8</x:v>
      </x:c>
      <x:c r="I19" s="10" t="str"/>
      <x:c r="J19" s="10" t="str">
        <x:v>No Supy name match</x:v>
      </x:c>
      <x:c r="K19" s="10" t="str"/>
    </x:row>
    <x:row r="20" ht="66" customHeight="1">
      <x:c r="A20" s="2" t="n">
        <x:v>11</x:v>
      </x:c>
      <x:c r="B20" s="8" t="str">
        <x:v>000107</x:v>
      </x:c>
      <x:c r="C20" s="10" t="str">
        <x:v>Chiffon Cake</x:v>
      </x:c>
      <x:c r="D20" s="2" t="str">
        <x:v>Snack</x:v>
      </x:c>
      <x:c r="E20" s="10" t="str">
        <x:v>Gluten Free Flour, Protein Powder, Butter, Vanilla, Almond Milk, Egg</x:v>
      </x:c>
      <x:c r="F20" s="9" t="n">
        <x:v>12</x:v>
      </x:c>
      <x:c r="G20" s="9" t="n">
        <x:v>8</x:v>
      </x:c>
      <x:c r="H20" s="9" t="n">
        <x:v>5</x:v>
      </x:c>
      <x:c r="I20" s="10" t="str"/>
      <x:c r="J20" s="10" t="str">
        <x:v>No Supy name match</x:v>
      </x:c>
      <x:c r="K20" s="10" t="str"/>
    </x:row>
    <x:row r="21" ht="66" customHeight="1">
      <x:c r="A21" s="2" t="n">
        <x:v>12</x:v>
      </x:c>
      <x:c r="B21" s="8" t="str">
        <x:v>000109</x:v>
      </x:c>
      <x:c r="C21" s="10" t="str">
        <x:v>BROWNIES</x:v>
      </x:c>
      <x:c r="D21" s="2" t="str">
        <x:v>Snack</x:v>
      </x:c>
      <x:c r="E21" s="10" t="str">
        <x:v>Gluten Free Flour, Protein Powder, Almond Milk, Egg, Cocoa, Butter, Vanilla</x:v>
      </x:c>
      <x:c r="F21" s="9" t="n">
        <x:v>15</x:v>
      </x:c>
      <x:c r="G21" s="9" t="n">
        <x:v>8</x:v>
      </x:c>
      <x:c r="H21" s="9" t="n">
        <x:v>7</x:v>
      </x:c>
      <x:c r="I21" s="10" t="str"/>
      <x:c r="J21" s="10" t="str">
        <x:v>No Supy name match</x:v>
      </x:c>
      <x:c r="K21" s="10" t="str"/>
    </x:row>
    <x:row r="22" ht="66" customHeight="1">
      <x:c r="A22" s="2" t="n">
        <x:v>13</x:v>
      </x:c>
      <x:c r="B22" s="8" t="str">
        <x:v>000124</x:v>
      </x:c>
      <x:c r="C22" s="10" t="str">
        <x:v>Date Cake</x:v>
      </x:c>
      <x:c r="D22" s="2" t="str">
        <x:v>Snack</x:v>
      </x:c>
      <x:c r="E22" s="10" t="str">
        <x:v>Almond Milk, Dates, Cinnamon, Vanilla, Gluten Free Flour, Egg</x:v>
      </x:c>
      <x:c r="F22" s="9" t="n">
        <x:v>14</x:v>
      </x:c>
      <x:c r="G22" s="9" t="n">
        <x:v>10</x:v>
      </x:c>
      <x:c r="H22" s="9" t="n">
        <x:v>6</x:v>
      </x:c>
      <x:c r="I22" s="10" t="str"/>
      <x:c r="J22" s="10" t="str">
        <x:v>No Supy name match</x:v>
      </x:c>
      <x:c r="K22" s="10" t="str"/>
    </x:row>
    <x:row r="23" ht="66" customHeight="1">
      <x:c r="A23" s="2" t="n">
        <x:v>14</x:v>
      </x:c>
      <x:c r="B23" s="8" t="str">
        <x:v>000125</x:v>
      </x:c>
      <x:c r="C23" s="10" t="str">
        <x:v>CHOCOLATE WAFFLE</x:v>
      </x:c>
      <x:c r="D23" s="2" t="str">
        <x:v>Snack</x:v>
      </x:c>
      <x:c r="E23" s="10" t="str">
        <x:v>Almond Milk, Sugar, Vanilla, Egg, Gluten Free Flour</x:v>
      </x:c>
      <x:c r="F23" s="9" t="n">
        <x:v>12</x:v>
      </x:c>
      <x:c r="G23" s="9" t="n">
        <x:v>10</x:v>
      </x:c>
      <x:c r="H23" s="9" t="n">
        <x:v>9</x:v>
      </x:c>
      <x:c r="I23" s="10" t="str"/>
      <x:c r="J23" s="10" t="str">
        <x:v>No Supy name match</x:v>
      </x:c>
      <x:c r="K23" s="10" t="str"/>
    </x:row>
    <x:row r="24" ht="66" customHeight="1">
      <x:c r="A24" s="2" t="n">
        <x:v>15</x:v>
      </x:c>
      <x:c r="B24" s="8" t="str">
        <x:v>000126</x:v>
      </x:c>
      <x:c r="C24" s="10" t="str">
        <x:v>Raspberry Oat Cookies</x:v>
      </x:c>
      <x:c r="D24" s="2" t="str">
        <x:v>Snack</x:v>
      </x:c>
      <x:c r="E24" s="10" t="str">
        <x:v>Protein Powder, Brown Sugar, Raspberry, Egg, Butter, Gluten Free Flour</x:v>
      </x:c>
      <x:c r="F24" s="9" t="n">
        <x:v>12</x:v>
      </x:c>
      <x:c r="G24" s="9" t="n">
        <x:v>10</x:v>
      </x:c>
      <x:c r="H24" s="9" t="n">
        <x:v>9</x:v>
      </x:c>
      <x:c r="I24" s="10" t="str"/>
      <x:c r="J24" s="10" t="str">
        <x:v>No Supy name match</x:v>
      </x:c>
      <x:c r="K24" s="10" t="str"/>
    </x:row>
    <x:row r="25" ht="66" customHeight="1">
      <x:c r="A25" s="2" t="n">
        <x:v>16</x:v>
      </x:c>
      <x:c r="B25" s="8" t="str">
        <x:v>000231</x:v>
      </x:c>
      <x:c r="C25" s="10" t="str">
        <x:v>CHIA BALLS</x:v>
      </x:c>
      <x:c r="D25" s="2" t="str">
        <x:v>Snack</x:v>
      </x:c>
      <x:c r="E25" s="10" t="str">
        <x:v>Chia, Oats, Cranberry, All Fruits, Peanut Butter</x:v>
      </x:c>
      <x:c r="F25" s="9" t="n">
        <x:v>10</x:v>
      </x:c>
      <x:c r="G25" s="9" t="n">
        <x:v>14</x:v>
      </x:c>
      <x:c r="H25" s="9" t="n">
        <x:v>6</x:v>
      </x:c>
      <x:c r="I25" s="10" t="str"/>
      <x:c r="J25" s="10" t="str">
        <x:v>No Supy name match</x:v>
      </x:c>
      <x:c r="K25" s="10" t="str"/>
    </x:row>
    <x:row r="26" ht="66" customHeight="1">
      <x:c r="A26" s="2" t="n">
        <x:v>17</x:v>
      </x:c>
      <x:c r="B26" s="8" t="str">
        <x:v>000233</x:v>
      </x:c>
      <x:c r="C26" s="10" t="str">
        <x:v>BANANA BLUEBERRY MUFFINS</x:v>
      </x:c>
      <x:c r="D26" s="2" t="str">
        <x:v>Snack</x:v>
      </x:c>
      <x:c r="E26" s="10" t="str">
        <x:v>Almond Milk, Egg, Vanilla, Blueberry, Banana, Brown Sugar, Protein Powder</x:v>
      </x:c>
      <x:c r="F26" s="9" t="n">
        <x:v>14</x:v>
      </x:c>
      <x:c r="G26" s="9" t="n">
        <x:v>10</x:v>
      </x:c>
      <x:c r="H26" s="9" t="n">
        <x:v>6</x:v>
      </x:c>
      <x:c r="I26" s="10" t="str"/>
      <x:c r="J26" s="10" t="str">
        <x:v>No Supy name match</x:v>
      </x:c>
      <x:c r="K26" s="10" t="str"/>
    </x:row>
    <x:row r="27" ht="66" customHeight="1">
      <x:c r="A27" s="2" t="n">
        <x:v>18</x:v>
      </x:c>
      <x:c r="B27" s="8" t="str">
        <x:v>000240</x:v>
      </x:c>
      <x:c r="C27" s="10" t="str">
        <x:v>BLUEBERRY MUFFINS</x:v>
      </x:c>
      <x:c r="D27" s="2" t="str">
        <x:v>Snack</x:v>
      </x:c>
      <x:c r="E27" s="10" t="str">
        <x:v>Gluten Free Flour, Almond Milk, Sugar, Protein Powder, Vanilla, All Fruits, Blueberry, Egg</x:v>
      </x:c>
      <x:c r="F27" s="9" t="n">
        <x:v>10</x:v>
      </x:c>
      <x:c r="G27" s="9" t="n">
        <x:v>12</x:v>
      </x:c>
      <x:c r="H27" s="9" t="n">
        <x:v>7</x:v>
      </x:c>
      <x:c r="I27" s="10" t="str">
        <x:v>Blueberry Muffins</x:v>
      </x:c>
      <x:c r="J27" s="10" t="str">
        <x:v>Matched to Supy snack</x:v>
      </x:c>
      <x:c r="K27" s="10" t="str"/>
    </x:row>
    <x:row r="28" ht="66" customHeight="1">
      <x:c r="A28" s="2" t="n">
        <x:v>19</x:v>
      </x:c>
      <x:c r="B28" s="8" t="str">
        <x:v>000288</x:v>
      </x:c>
      <x:c r="C28" s="10" t="str">
        <x:v>CHOCOLATE OAT COOKIES</x:v>
      </x:c>
      <x:c r="D28" s="2" t="str">
        <x:v>Snack</x:v>
      </x:c>
      <x:c r="E28" s="10" t="str">
        <x:v>Cocoa, Gluten Free Flour, Sugar, Egg, Dairy, Butter, Vanilla, Dairy, Gluten, Oats, Protein Powder</x:v>
      </x:c>
      <x:c r="F28" s="9" t="n">
        <x:v>14</x:v>
      </x:c>
      <x:c r="G28" s="9" t="n">
        <x:v>10</x:v>
      </x:c>
      <x:c r="H28" s="9" t="n">
        <x:v>6</x:v>
      </x:c>
      <x:c r="I28" s="10" t="str">
        <x:v>Chocolate Oat Cookies</x:v>
      </x:c>
      <x:c r="J28" s="10" t="str">
        <x:v>Matched to Supy snack</x:v>
      </x:c>
      <x:c r="K28" s="10" t="str"/>
    </x:row>
    <x:row r="29" ht="66" customHeight="1">
      <x:c r="A29" s="2" t="n">
        <x:v>20</x:v>
      </x:c>
      <x:c r="B29" s="8" t="str">
        <x:v>000301</x:v>
      </x:c>
      <x:c r="C29" s="10" t="str">
        <x:v>COCONUT MACAROONS</x:v>
      </x:c>
      <x:c r="D29" s="2" t="str">
        <x:v>Snack</x:v>
      </x:c>
      <x:c r="E29" s="10" t="str">
        <x:v>Dairy, Egg, Vanilla, Cocoa, Coconut</x:v>
      </x:c>
      <x:c r="F29" s="9" t="n">
        <x:v>15</x:v>
      </x:c>
      <x:c r="G29" s="9" t="n">
        <x:v>12</x:v>
      </x:c>
      <x:c r="H29" s="9" t="n">
        <x:v>8</x:v>
      </x:c>
      <x:c r="I29" s="10" t="str"/>
      <x:c r="J29" s="10" t="str">
        <x:v>No Supy name match</x:v>
      </x:c>
      <x:c r="K29" s="10" t="str"/>
    </x:row>
    <x:row r="30" ht="66" customHeight="1">
      <x:c r="A30" s="2" t="n">
        <x:v>21</x:v>
      </x:c>
      <x:c r="B30" s="8" t="str">
        <x:v>000326</x:v>
      </x:c>
      <x:c r="C30" s="10" t="str">
        <x:v>QUINOA BARS</x:v>
      </x:c>
      <x:c r="D30" s="2" t="str">
        <x:v>Snack</x:v>
      </x:c>
      <x:c r="E30" s="10" t="str">
        <x:v>Quinoa, Dates, Peanut Butter, Cashew, All Nuts, Oats, Nuts</x:v>
      </x:c>
      <x:c r="F30" s="9" t="n">
        <x:v>12</x:v>
      </x:c>
      <x:c r="G30" s="9" t="n">
        <x:v>10</x:v>
      </x:c>
      <x:c r="H30" s="9" t="n">
        <x:v>7</x:v>
      </x:c>
      <x:c r="I30" s="10" t="str"/>
      <x:c r="J30" s="10" t="str">
        <x:v>No Supy name match</x:v>
      </x:c>
      <x:c r="K30" s="10" t="str"/>
    </x:row>
    <x:row r="31" ht="66" customHeight="1">
      <x:c r="A31" s="2" t="n">
        <x:v>22</x:v>
      </x:c>
      <x:c r="B31" s="8" t="str">
        <x:v>000327</x:v>
      </x:c>
      <x:c r="C31" s="10" t="str">
        <x:v>PEANUT BUTTER JELLY CREPE</x:v>
      </x:c>
      <x:c r="D31" s="2" t="str">
        <x:v>Snack</x:v>
      </x:c>
      <x:c r="E31" s="10" t="str">
        <x:v>Gluten Free Flour, Egg, Almond Milk, Peanut Butter, Raspberry</x:v>
      </x:c>
      <x:c r="F31" s="9" t="n">
        <x:v>14</x:v>
      </x:c>
      <x:c r="G31" s="9" t="n">
        <x:v>10</x:v>
      </x:c>
      <x:c r="H31" s="9" t="n">
        <x:v>7</x:v>
      </x:c>
      <x:c r="I31" s="10" t="str"/>
      <x:c r="J31" s="10" t="str">
        <x:v>No Supy name match</x:v>
      </x:c>
      <x:c r="K31" s="10" t="str"/>
    </x:row>
    <x:row r="32" ht="66" customHeight="1">
      <x:c r="A32" s="2" t="n">
        <x:v>23</x:v>
      </x:c>
      <x:c r="B32" s="8" t="str">
        <x:v>000342</x:v>
      </x:c>
      <x:c r="C32" s="10" t="str">
        <x:v>PEANUT BUTTER WAFFLE</x:v>
      </x:c>
      <x:c r="D32" s="2" t="str">
        <x:v>Snack</x:v>
      </x:c>
      <x:c r="E32" s="10" t="str">
        <x:v>Peanut Butter, Sugar, Coconut, Cocoa, Nuts, All Nuts, Gluten Free Flour</x:v>
      </x:c>
      <x:c r="F32" s="9" t="n">
        <x:v>14</x:v>
      </x:c>
      <x:c r="G32" s="9" t="n">
        <x:v>10</x:v>
      </x:c>
      <x:c r="H32" s="9" t="n">
        <x:v>9</x:v>
      </x:c>
      <x:c r="I32" s="10" t="str"/>
      <x:c r="J32" s="10" t="str">
        <x:v>No Supy name match</x:v>
      </x:c>
      <x:c r="K32" s="10" t="str"/>
    </x:row>
    <x:row r="33" ht="66" customHeight="1">
      <x:c r="A33" s="2" t="n">
        <x:v>24</x:v>
      </x:c>
      <x:c r="B33" s="8" t="str">
        <x:v>000343</x:v>
      </x:c>
      <x:c r="C33" s="10" t="str">
        <x:v>FLOURLESS COOKIES</x:v>
      </x:c>
      <x:c r="D33" s="2" t="str">
        <x:v>Snack</x:v>
      </x:c>
      <x:c r="E33" s="10" t="str">
        <x:v>Peanut Butter, Sugar, All Nuts, Egg, Vanilla, Nuts</x:v>
      </x:c>
      <x:c r="F33" s="9" t="n">
        <x:v>14</x:v>
      </x:c>
      <x:c r="G33" s="9" t="n">
        <x:v>10</x:v>
      </x:c>
      <x:c r="H33" s="9" t="n">
        <x:v>7</x:v>
      </x:c>
      <x:c r="I33" s="10" t="str"/>
      <x:c r="J33" s="10" t="str">
        <x:v>No Supy name match</x:v>
      </x:c>
      <x:c r="K33" s="10" t="str"/>
    </x:row>
    <x:row r="34" ht="66" customHeight="1">
      <x:c r="A34" s="2" t="n">
        <x:v>25</x:v>
      </x:c>
      <x:c r="B34" s="8" t="str">
        <x:v>000373</x:v>
      </x:c>
      <x:c r="C34" s="10" t="str">
        <x:v>LEMON CAKE CUPS</x:v>
      </x:c>
      <x:c r="D34" s="2" t="str">
        <x:v>Snack</x:v>
      </x:c>
      <x:c r="E34" s="10" t="str">
        <x:v>Lemon, Gluten Free Flour, Sugar, Egg, Almond Milk</x:v>
      </x:c>
      <x:c r="F34" s="9" t="n">
        <x:v>14</x:v>
      </x:c>
      <x:c r="G34" s="9" t="n">
        <x:v>10</x:v>
      </x:c>
      <x:c r="H34" s="9" t="n">
        <x:v>6</x:v>
      </x:c>
      <x:c r="I34" s="10" t="str"/>
      <x:c r="J34" s="10" t="str">
        <x:v>No Supy name match</x:v>
      </x:c>
      <x:c r="K34" s="10" t="str"/>
    </x:row>
    <x:row r="35" ht="66" customHeight="1">
      <x:c r="A35" s="2" t="n">
        <x:v>26</x:v>
      </x:c>
      <x:c r="B35" s="8" t="str">
        <x:v>000374</x:v>
      </x:c>
      <x:c r="C35" s="10" t="str">
        <x:v>QUINOA ENERGY BALLS</x:v>
      </x:c>
      <x:c r="D35" s="2" t="str">
        <x:v>Snack</x:v>
      </x:c>
      <x:c r="E35" s="10" t="str">
        <x:v>Dates, Chia, Cinnamon, Cocoa, Quinoa</x:v>
      </x:c>
      <x:c r="F35" s="9" t="n">
        <x:v>14</x:v>
      </x:c>
      <x:c r="G35" s="9" t="n">
        <x:v>10</x:v>
      </x:c>
      <x:c r="H35" s="9" t="n">
        <x:v>7</x:v>
      </x:c>
      <x:c r="I35" s="10" t="str"/>
      <x:c r="J35" s="10" t="str">
        <x:v>No Supy name match</x:v>
      </x:c>
      <x:c r="K35" s="10" t="str"/>
    </x:row>
    <x:row r="36" ht="66" customHeight="1">
      <x:c r="A36" s="2" t="n">
        <x:v>27</x:v>
      </x:c>
      <x:c r="B36" s="8" t="str">
        <x:v>000392</x:v>
      </x:c>
      <x:c r="C36" s="10" t="str">
        <x:v>CHOCO PEANUT BUTTER TRUFFLE</x:v>
      </x:c>
      <x:c r="D36" s="2" t="str">
        <x:v>Snack</x:v>
      </x:c>
      <x:c r="E36" s="10" t="str">
        <x:v>Peanut Butter, Cocoa, Coconut, Sugar</x:v>
      </x:c>
      <x:c r="F36" s="9" t="n">
        <x:v>15</x:v>
      </x:c>
      <x:c r="G36" s="9" t="n">
        <x:v>10</x:v>
      </x:c>
      <x:c r="H36" s="9" t="n">
        <x:v>6</x:v>
      </x:c>
      <x:c r="I36" s="10" t="str">
        <x:v>Choco Peanut Butter Truffle</x:v>
      </x:c>
      <x:c r="J36" s="10" t="str">
        <x:v>Matched to Supy snack</x:v>
      </x:c>
      <x:c r="K36" s="10" t="str">
        <x:v>Choco Peanut Butter Truffle (uncategorized); Choco Peanut Butter Truffle (Matter Immigration)</x:v>
      </x:c>
    </x:row>
    <x:row r="37" ht="66" customHeight="1">
      <x:c r="A37" s="2" t="n">
        <x:v>28</x:v>
      </x:c>
      <x:c r="B37" s="8" t="str">
        <x:v>000393</x:v>
      </x:c>
      <x:c r="C37" s="10" t="str">
        <x:v>MIX BERRY WAFFLE</x:v>
      </x:c>
      <x:c r="D37" s="2" t="str">
        <x:v>Snack</x:v>
      </x:c>
      <x:c r="E37" s="10" t="str">
        <x:v>Gluten Free Flour, Egg, Almond Milk, Sugar, All Fruits, Blueberry, Raspberry</x:v>
      </x:c>
      <x:c r="F37" s="9" t="n">
        <x:v>14</x:v>
      </x:c>
      <x:c r="G37" s="9" t="n">
        <x:v>10</x:v>
      </x:c>
      <x:c r="H37" s="9" t="n">
        <x:v>6</x:v>
      </x:c>
      <x:c r="I37" s="10" t="str"/>
      <x:c r="J37" s="10" t="str">
        <x:v>No Supy name match</x:v>
      </x:c>
      <x:c r="K37" s="10" t="str"/>
    </x:row>
    <x:row r="38" ht="66" customHeight="1">
      <x:c r="A38" s="2" t="n">
        <x:v>29</x:v>
      </x:c>
      <x:c r="B38" s="8" t="str">
        <x:v>000395</x:v>
      </x:c>
      <x:c r="C38" s="10" t="str">
        <x:v>LOADED CHOCOLATE CAKE</x:v>
      </x:c>
      <x:c r="D38" s="2" t="str">
        <x:v>Snack</x:v>
      </x:c>
      <x:c r="E38" s="10" t="str">
        <x:v>Gluten Free Flour, Protein Powder, Almond Milk, Egg, Cocoa, Dairy, Butter, Vanilla</x:v>
      </x:c>
      <x:c r="F38" s="9" t="n">
        <x:v>15</x:v>
      </x:c>
      <x:c r="G38" s="9" t="n">
        <x:v>8</x:v>
      </x:c>
      <x:c r="H38" s="9" t="n">
        <x:v>7</x:v>
      </x:c>
      <x:c r="I38" s="10" t="str"/>
      <x:c r="J38" s="10" t="str">
        <x:v>No Supy name match</x:v>
      </x:c>
      <x:c r="K38" s="10" t="str"/>
    </x:row>
    <x:row r="39" ht="66" customHeight="1">
      <x:c r="A39" s="2" t="n">
        <x:v>30</x:v>
      </x:c>
      <x:c r="B39" s="8" t="str">
        <x:v>000410</x:v>
      </x:c>
      <x:c r="C39" s="10" t="str">
        <x:v>SWEET CORN CUPCAKE</x:v>
      </x:c>
      <x:c r="D39" s="2" t="str">
        <x:v>Snack</x:v>
      </x:c>
      <x:c r="E39" s="10" t="str">
        <x:v>Egg, Corn, Gluten Free Flour</x:v>
      </x:c>
      <x:c r="F39" s="9" t="n">
        <x:v>14</x:v>
      </x:c>
      <x:c r="G39" s="9" t="n">
        <x:v>10</x:v>
      </x:c>
      <x:c r="H39" s="9" t="n">
        <x:v>6</x:v>
      </x:c>
      <x:c r="I39" s="10" t="str"/>
      <x:c r="J39" s="10" t="str">
        <x:v>No Supy name match</x:v>
      </x:c>
      <x:c r="K39" s="10" t="str"/>
    </x:row>
    <x:row r="40" ht="66" customHeight="1">
      <x:c r="A40" s="2" t="n">
        <x:v>31</x:v>
      </x:c>
      <x:c r="B40" s="8" t="str">
        <x:v>000420</x:v>
      </x:c>
      <x:c r="C40" s="10" t="str">
        <x:v>LEMON BAR</x:v>
      </x:c>
      <x:c r="D40" s="2" t="str">
        <x:v>Snack</x:v>
      </x:c>
      <x:c r="E40" s="10" t="str">
        <x:v>Gluten Free Flour, Lemon, Egg, Almond Milk, Vanilla, Protein Powder</x:v>
      </x:c>
      <x:c r="F40" s="9" t="n">
        <x:v>14</x:v>
      </x:c>
      <x:c r="G40" s="9" t="n">
        <x:v>10</x:v>
      </x:c>
      <x:c r="H40" s="9" t="n">
        <x:v>8</x:v>
      </x:c>
      <x:c r="I40" s="10" t="str"/>
      <x:c r="J40" s="10" t="str">
        <x:v>No Supy name match</x:v>
      </x:c>
      <x:c r="K40" s="10" t="str"/>
    </x:row>
    <x:row r="41" ht="66" customHeight="1">
      <x:c r="A41" s="2" t="n">
        <x:v>32</x:v>
      </x:c>
      <x:c r="B41" s="8" t="str">
        <x:v>000421</x:v>
      </x:c>
      <x:c r="C41" s="10" t="str">
        <x:v>SWEET POTATO ENERGY COOKIES</x:v>
      </x:c>
      <x:c r="D41" s="2" t="str">
        <x:v>Snack</x:v>
      </x:c>
      <x:c r="E41" s="10" t="str">
        <x:v>Sweet Potato, Cinnamon, Chia, Dates, Oats</x:v>
      </x:c>
      <x:c r="F41" s="9" t="n">
        <x:v>15</x:v>
      </x:c>
      <x:c r="G41" s="9" t="n">
        <x:v>10</x:v>
      </x:c>
      <x:c r="H41" s="9" t="n">
        <x:v>7</x:v>
      </x:c>
      <x:c r="I41" s="10" t="str"/>
      <x:c r="J41" s="10" t="str">
        <x:v>No Supy name match</x:v>
      </x:c>
      <x:c r="K41" s="10" t="str"/>
    </x:row>
    <x:row r="42" ht="66" customHeight="1">
      <x:c r="A42" s="2" t="n">
        <x:v>33</x:v>
      </x:c>
      <x:c r="B42" s="8" t="str">
        <x:v>000442</x:v>
      </x:c>
      <x:c r="C42" s="10" t="str">
        <x:v>BUTTERNUT MUFFIN</x:v>
      </x:c>
      <x:c r="D42" s="2" t="str">
        <x:v>Snack</x:v>
      </x:c>
      <x:c r="E42" s="10" t="str">
        <x:v>Butternut, Dairy, Cheese, Gluten Free Flour, Egg, Protein Powder</x:v>
      </x:c>
      <x:c r="F42" s="9" t="n">
        <x:v>14</x:v>
      </x:c>
      <x:c r="G42" s="9" t="n">
        <x:v>9</x:v>
      </x:c>
      <x:c r="H42" s="9" t="n">
        <x:v>6</x:v>
      </x:c>
      <x:c r="I42" s="10" t="str"/>
      <x:c r="J42" s="10" t="str">
        <x:v>No Supy name match</x:v>
      </x:c>
      <x:c r="K42" s="10" t="str"/>
    </x:row>
    <x:row r="43" ht="66" customHeight="1">
      <x:c r="A43" s="2" t="n">
        <x:v>34</x:v>
      </x:c>
      <x:c r="B43" s="8" t="str">
        <x:v>000446</x:v>
      </x:c>
      <x:c r="C43" s="10" t="str">
        <x:v>MANGO COCONUT MUFFIN</x:v>
      </x:c>
      <x:c r="D43" s="2" t="str">
        <x:v>Snack</x:v>
      </x:c>
      <x:c r="E43" s="10" t="str">
        <x:v>Oats, Coconut, Mango, All Fruits, Vanilla, Honey</x:v>
      </x:c>
      <x:c r="F43" s="9" t="n">
        <x:v>14</x:v>
      </x:c>
      <x:c r="G43" s="9" t="n">
        <x:v>9</x:v>
      </x:c>
      <x:c r="H43" s="9" t="n">
        <x:v>7</x:v>
      </x:c>
      <x:c r="I43" s="10" t="str">
        <x:v>Mango Coconut Muffins</x:v>
      </x:c>
      <x:c r="J43" s="10" t="str">
        <x:v>Matched to Supy snack</x:v>
      </x:c>
      <x:c r="K43" s="10" t="str">
        <x:v>Mango Coconut Muffins (uncategorized)</x:v>
      </x:c>
    </x:row>
    <x:row r="44" ht="66" customHeight="1">
      <x:c r="A44" s="2" t="n">
        <x:v>35</x:v>
      </x:c>
      <x:c r="B44" s="8" t="str">
        <x:v>000447</x:v>
      </x:c>
      <x:c r="C44" s="10" t="str">
        <x:v>RED VELVET WAFFLE</x:v>
      </x:c>
      <x:c r="D44" s="2" t="str">
        <x:v>Snack</x:v>
      </x:c>
      <x:c r="E44" s="10" t="str">
        <x:v>Beetroot, Oats, Gluten Free Flour, Almond Milk, Cocoa, Egg, Vanilla, Protein Powder</x:v>
      </x:c>
      <x:c r="F44" s="9" t="n">
        <x:v>14</x:v>
      </x:c>
      <x:c r="G44" s="9" t="n">
        <x:v>10</x:v>
      </x:c>
      <x:c r="H44" s="9" t="n">
        <x:v>7</x:v>
      </x:c>
      <x:c r="I44" s="10" t="str"/>
      <x:c r="J44" s="10" t="str">
        <x:v>No Supy name match</x:v>
      </x:c>
      <x:c r="K44" s="10" t="str"/>
    </x:row>
    <x:row r="45" ht="66" customHeight="1">
      <x:c r="A45" s="2" t="n">
        <x:v>36</x:v>
      </x:c>
      <x:c r="B45" s="8" t="str">
        <x:v>000458</x:v>
      </x:c>
      <x:c r="C45" s="10" t="str">
        <x:v>QUINOA ENERGY BAR</x:v>
      </x:c>
      <x:c r="D45" s="2" t="str">
        <x:v>Snack</x:v>
      </x:c>
      <x:c r="E45" s="10" t="str">
        <x:v>Quinoa, Peanut Butter, Cashew, All Nuts, Dates, Oats, Protein Powder</x:v>
      </x:c>
      <x:c r="F45" s="9" t="n">
        <x:v>15</x:v>
      </x:c>
      <x:c r="G45" s="9" t="n">
        <x:v>10</x:v>
      </x:c>
      <x:c r="H45" s="9" t="n">
        <x:v>6</x:v>
      </x:c>
      <x:c r="I45" s="10" t="str"/>
      <x:c r="J45" s="10" t="str">
        <x:v>No Supy name match</x:v>
      </x:c>
      <x:c r="K45" s="10" t="str"/>
    </x:row>
    <x:row r="46" ht="66" customHeight="1">
      <x:c r="A46" s="2" t="n">
        <x:v>37</x:v>
      </x:c>
      <x:c r="B46" s="8" t="str">
        <x:v>000459</x:v>
      </x:c>
      <x:c r="C46" s="10" t="str">
        <x:v>RASPBERRY MUFFINS</x:v>
      </x:c>
      <x:c r="D46" s="2" t="str">
        <x:v>Snack</x:v>
      </x:c>
      <x:c r="E46" s="10" t="str">
        <x:v>Gluten Free Flour, Egg, Raspberry, All Fruits, Protein Powder, Vanilla</x:v>
      </x:c>
      <x:c r="F46" s="9" t="n">
        <x:v>15</x:v>
      </x:c>
      <x:c r="G46" s="9" t="n">
        <x:v>10</x:v>
      </x:c>
      <x:c r="H46" s="9" t="n">
        <x:v>8</x:v>
      </x:c>
      <x:c r="I46" s="10" t="str"/>
      <x:c r="J46" s="10" t="str">
        <x:v>Other Supy categories only</x:v>
      </x:c>
      <x:c r="K46" s="10" t="str">
        <x:v>Raspberry Muffins (uncategorized); Raspberry Muffins (Breakfast)</x:v>
      </x:c>
    </x:row>
    <x:row r="47" ht="66" customHeight="1">
      <x:c r="A47" s="2" t="n">
        <x:v>38</x:v>
      </x:c>
      <x:c r="B47" s="8" t="str">
        <x:v>000460</x:v>
      </x:c>
      <x:c r="C47" s="10" t="str">
        <x:v>PINEAPPLE CAKE</x:v>
      </x:c>
      <x:c r="D47" s="2" t="str">
        <x:v>Snack</x:v>
      </x:c>
      <x:c r="E47" s="10" t="str">
        <x:v>Gluten Free Flour, Egg, Almond Milk, Pineapple, All Fruits, Vanilla, Protein Powder, Cinnamon</x:v>
      </x:c>
      <x:c r="F47" s="9" t="n">
        <x:v>15</x:v>
      </x:c>
      <x:c r="G47" s="9" t="n">
        <x:v>10</x:v>
      </x:c>
      <x:c r="H47" s="9" t="n">
        <x:v>6</x:v>
      </x:c>
      <x:c r="I47" s="10" t="str"/>
      <x:c r="J47" s="10" t="str">
        <x:v>No Supy name match</x:v>
      </x:c>
      <x:c r="K47" s="10" t="str"/>
    </x:row>
    <x:row r="48" ht="66" customHeight="1">
      <x:c r="A48" s="2" t="n">
        <x:v>39</x:v>
      </x:c>
      <x:c r="B48" s="8" t="str">
        <x:v>000461</x:v>
      </x:c>
      <x:c r="C48" s="10" t="str">
        <x:v>CRANBERRY CHIA BALLS</x:v>
      </x:c>
      <x:c r="D48" s="2" t="str">
        <x:v>Snack</x:v>
      </x:c>
      <x:c r="E48" s="10" t="str">
        <x:v>Oats, Chia, Cranberry, Peanut Butter, Protein Powder</x:v>
      </x:c>
      <x:c r="F48" s="9" t="n">
        <x:v>15</x:v>
      </x:c>
      <x:c r="G48" s="9" t="n">
        <x:v>10</x:v>
      </x:c>
      <x:c r="H48" s="9" t="n">
        <x:v>7</x:v>
      </x:c>
      <x:c r="I48" s="10" t="str"/>
      <x:c r="J48" s="10" t="str">
        <x:v>No Supy name match</x:v>
      </x:c>
      <x:c r="K48" s="10" t="str"/>
    </x:row>
    <x:row r="49" ht="66" customHeight="1">
      <x:c r="A49" s="2" t="n">
        <x:v>40</x:v>
      </x:c>
      <x:c r="B49" s="8" t="str">
        <x:v>000472</x:v>
      </x:c>
      <x:c r="C49" s="10" t="str">
        <x:v>PUMPKIN WAFFLE</x:v>
      </x:c>
      <x:c r="D49" s="2" t="str">
        <x:v>Snack</x:v>
      </x:c>
      <x:c r="E49" s="10" t="str">
        <x:v>Butternut, Cheese, Dairy, Egg, Gluten Free Flour, Protein Powder</x:v>
      </x:c>
      <x:c r="F49" s="9" t="n">
        <x:v>18</x:v>
      </x:c>
      <x:c r="G49" s="9" t="n">
        <x:v>10</x:v>
      </x:c>
      <x:c r="H49" s="9" t="n">
        <x:v>6</x:v>
      </x:c>
      <x:c r="I49" s="10" t="str"/>
      <x:c r="J49" s="10" t="str">
        <x:v>No Supy name match</x:v>
      </x:c>
      <x:c r="K49" s="10" t="str"/>
    </x:row>
    <x:row r="50" ht="66" customHeight="1">
      <x:c r="A50" s="2" t="n">
        <x:v>41</x:v>
      </x:c>
      <x:c r="B50" s="8" t="str">
        <x:v>000489</x:v>
      </x:c>
      <x:c r="C50" s="10" t="str">
        <x:v>ROCKY ROAD COOKIES</x:v>
      </x:c>
      <x:c r="D50" s="2" t="str">
        <x:v>Snack</x:v>
      </x:c>
      <x:c r="E50" s="10" t="str">
        <x:v>Marshmallow, Gluten Free Flour, Cocoa, Egg, Dairy, Yugurt</x:v>
      </x:c>
      <x:c r="F50" s="9" t="n">
        <x:v>15</x:v>
      </x:c>
      <x:c r="G50" s="9" t="n">
        <x:v>10</x:v>
      </x:c>
      <x:c r="H50" s="9" t="n">
        <x:v>6</x:v>
      </x:c>
      <x:c r="I50" s="10" t="str"/>
      <x:c r="J50" s="10" t="str">
        <x:v>No Supy name match</x:v>
      </x:c>
      <x:c r="K50" s="10" t="str"/>
    </x:row>
    <x:row r="51" ht="66" customHeight="1">
      <x:c r="A51" s="2" t="n">
        <x:v>42</x:v>
      </x:c>
      <x:c r="B51" s="8" t="str">
        <x:v>000495</x:v>
      </x:c>
      <x:c r="C51" s="10" t="str">
        <x:v>COCONUT MUFFIN BITES</x:v>
      </x:c>
      <x:c r="D51" s="2" t="str">
        <x:v>Snack</x:v>
      </x:c>
      <x:c r="E51" s="10" t="str">
        <x:v>Dairy, Egg, Vanilla, Cocoa, Coconut</x:v>
      </x:c>
      <x:c r="F51" s="9" t="n">
        <x:v>15</x:v>
      </x:c>
      <x:c r="G51" s="9" t="n">
        <x:v>12</x:v>
      </x:c>
      <x:c r="H51" s="9" t="n">
        <x:v>8</x:v>
      </x:c>
      <x:c r="I51" s="10" t="str"/>
      <x:c r="J51" s="10" t="str">
        <x:v>No Supy name match</x:v>
      </x:c>
      <x:c r="K51" s="10" t="str"/>
    </x:row>
    <x:row r="52" ht="66" customHeight="1">
      <x:c r="A52" s="2" t="n">
        <x:v>43</x:v>
      </x:c>
      <x:c r="B52" s="8" t="str">
        <x:v>000547</x:v>
      </x:c>
      <x:c r="C52" s="10" t="str">
        <x:v>SWEET CORN PANCAKE</x:v>
      </x:c>
      <x:c r="D52" s="2" t="str">
        <x:v>Snack</x:v>
      </x:c>
      <x:c r="E52" s="10" t="str">
        <x:v>Cheese, Dairy, Gluten Free Flour, Egg, Protein Powder, Corn</x:v>
      </x:c>
      <x:c r="F52" s="9" t="n">
        <x:v>14</x:v>
      </x:c>
      <x:c r="G52" s="9" t="n">
        <x:v>9</x:v>
      </x:c>
      <x:c r="H52" s="9" t="n">
        <x:v>6</x:v>
      </x:c>
      <x:c r="I52" s="10" t="str"/>
      <x:c r="J52" s="10" t="str">
        <x:v>No Supy name match</x:v>
      </x:c>
      <x:c r="K52" s="10" t="str"/>
    </x:row>
    <x:row r="53" ht="66" customHeight="1">
      <x:c r="A53" s="2" t="n">
        <x:v>44</x:v>
      </x:c>
      <x:c r="B53" s="8" t="str">
        <x:v>000570</x:v>
      </x:c>
      <x:c r="C53" s="10" t="str">
        <x:v>BEETROOT PANCAKE</x:v>
      </x:c>
      <x:c r="D53" s="2" t="str">
        <x:v>Snack</x:v>
      </x:c>
      <x:c r="E53" s="10" t="str">
        <x:v>Beetroot, Cheese, Dairy, Gluten Free Flour, Protein Powder, Egg</x:v>
      </x:c>
      <x:c r="F53" s="9" t="n">
        <x:v>14</x:v>
      </x:c>
      <x:c r="G53" s="9" t="n">
        <x:v>9</x:v>
      </x:c>
      <x:c r="H53" s="9" t="n">
        <x:v>6</x:v>
      </x:c>
      <x:c r="I53" s="10" t="str"/>
      <x:c r="J53" s="10" t="str">
        <x:v>No Supy name match</x:v>
      </x:c>
      <x:c r="K53" s="10" t="str"/>
    </x:row>
    <x:row r="54" ht="66" customHeight="1">
      <x:c r="A54" s="2" t="n">
        <x:v>45</x:v>
      </x:c>
      <x:c r="B54" s="8" t="str">
        <x:v>000580</x:v>
      </x:c>
      <x:c r="C54" s="10" t="str">
        <x:v>APRICOT CHIA BALLS</x:v>
      </x:c>
      <x:c r="D54" s="2" t="str">
        <x:v>Snack</x:v>
      </x:c>
      <x:c r="E54" s="10" t="str">
        <x:v>Dates, Walnut, Protein Powder, Apricot, Raisins, Chia</x:v>
      </x:c>
      <x:c r="F54" s="9" t="n">
        <x:v>14</x:v>
      </x:c>
      <x:c r="G54" s="9" t="n">
        <x:v>12</x:v>
      </x:c>
      <x:c r="H54" s="9" t="n">
        <x:v>7</x:v>
      </x:c>
      <x:c r="I54" s="10" t="str"/>
      <x:c r="J54" s="10" t="str">
        <x:v>No Supy name match</x:v>
      </x:c>
      <x:c r="K54" s="10" t="str"/>
    </x:row>
    <x:row r="55" ht="66" customHeight="1">
      <x:c r="A55" s="2" t="n">
        <x:v>46</x:v>
      </x:c>
      <x:c r="B55" s="8" t="str">
        <x:v>000590</x:v>
      </x:c>
      <x:c r="C55" s="10" t="str">
        <x:v>CHOCO MUFFINS</x:v>
      </x:c>
      <x:c r="D55" s="2" t="str">
        <x:v>Snack</x:v>
      </x:c>
      <x:c r="E55" s="10" t="str">
        <x:v>Gluten Free Flour, Almond Milk, Sugar, Protein Powder, Vanilla, Cocoa, Egg</x:v>
      </x:c>
      <x:c r="F55" s="9" t="n">
        <x:v>12</x:v>
      </x:c>
      <x:c r="G55" s="9" t="n">
        <x:v>10</x:v>
      </x:c>
      <x:c r="H55" s="9" t="n">
        <x:v>6</x:v>
      </x:c>
      <x:c r="I55" s="10" t="str"/>
      <x:c r="J55" s="10" t="str">
        <x:v>No Supy name match</x:v>
      </x:c>
      <x:c r="K55" s="10" t="str"/>
    </x:row>
    <x:row r="56" ht="66" customHeight="1">
      <x:c r="A56" s="2" t="n">
        <x:v>47</x:v>
      </x:c>
      <x:c r="B56" s="8" t="str">
        <x:v>000591</x:v>
      </x:c>
      <x:c r="C56" s="10" t="str">
        <x:v>COCONUT CHOCO TRUFFLE</x:v>
      </x:c>
      <x:c r="D56" s="2" t="str">
        <x:v>Snack</x:v>
      </x:c>
      <x:c r="E56" s="10" t="str">
        <x:v>Dates, Protein Powder, Vanilla, Coconut, Oats, Cinnamon, Peanut Butter, All Nuts</x:v>
      </x:c>
      <x:c r="F56" s="9" t="n">
        <x:v>14</x:v>
      </x:c>
      <x:c r="G56" s="9" t="n">
        <x:v>10</x:v>
      </x:c>
      <x:c r="H56" s="9" t="n">
        <x:v>6</x:v>
      </x:c>
      <x:c r="I56" s="10" t="str"/>
      <x:c r="J56" s="10" t="str">
        <x:v>No Supy name match</x:v>
      </x:c>
      <x:c r="K56" s="10" t="str"/>
    </x:row>
    <x:row r="57" ht="66" customHeight="1">
      <x:c r="A57" s="2" t="n">
        <x:v>48</x:v>
      </x:c>
      <x:c r="B57" s="8" t="str">
        <x:v>000620</x:v>
      </x:c>
      <x:c r="C57" s="10" t="str">
        <x:v>PEANUT BUTTER MUFFIN</x:v>
      </x:c>
      <x:c r="D57" s="2" t="str">
        <x:v>Snack</x:v>
      </x:c>
      <x:c r="E57" s="10" t="str">
        <x:v>Cheese, Dairy, Gluten Free Flour, Peanut Butter, Protein Powder, Gluten, Protein Powder , All Nuts, Peanut Butter</x:v>
      </x:c>
      <x:c r="F57" s="9" t="n">
        <x:v>14</x:v>
      </x:c>
      <x:c r="G57" s="9" t="n">
        <x:v>9</x:v>
      </x:c>
      <x:c r="H57" s="9" t="n">
        <x:v>6</x:v>
      </x:c>
      <x:c r="I57" s="10" t="str">
        <x:v>Peanut Butter Muffins</x:v>
      </x:c>
      <x:c r="J57" s="10" t="str">
        <x:v>Alternate file entry</x:v>
      </x:c>
      <x:c r="K57" s="10" t="str">
        <x:v>Peanut Butter Muffins (uncategorized); Peanut Butter Muffins (Breakfast)</x:v>
      </x:c>
    </x:row>
    <x:row r="58" ht="66" customHeight="1">
      <x:c r="A58" s="2" t="n">
        <x:v>49</x:v>
      </x:c>
      <x:c r="B58" s="8" t="str">
        <x:v>000622</x:v>
      </x:c>
      <x:c r="C58" s="10" t="str">
        <x:v>BLUEBERRY ENERGY BALL</x:v>
      </x:c>
      <x:c r="D58" s="2" t="str">
        <x:v>Snack</x:v>
      </x:c>
      <x:c r="E58" s="10" t="str">
        <x:v>All Fruits, Butter, Coconut Milk, Coconut, Egg, Honey, Blueberry</x:v>
      </x:c>
      <x:c r="F58" s="9" t="n">
        <x:v>14</x:v>
      </x:c>
      <x:c r="G58" s="9" t="n">
        <x:v>10</x:v>
      </x:c>
      <x:c r="H58" s="9" t="n">
        <x:v>8</x:v>
      </x:c>
      <x:c r="I58" s="10" t="str"/>
      <x:c r="J58" s="10" t="str">
        <x:v>No Supy name match</x:v>
      </x:c>
      <x:c r="K58" s="10" t="str"/>
    </x:row>
    <x:row r="59" ht="66" customHeight="1">
      <x:c r="A59" s="2" t="n">
        <x:v>50</x:v>
      </x:c>
      <x:c r="B59" s="8" t="str">
        <x:v>000628</x:v>
      </x:c>
      <x:c r="C59" s="10" t="str">
        <x:v>SWEET CORN MUFFIN</x:v>
      </x:c>
      <x:c r="D59" s="2" t="str">
        <x:v>Snack</x:v>
      </x:c>
      <x:c r="E59" s="10" t="str">
        <x:v>Cheese, Vanilla, Corn, Gluten Free Flour</x:v>
      </x:c>
      <x:c r="F59" s="9" t="n">
        <x:v>12</x:v>
      </x:c>
      <x:c r="G59" s="9" t="n">
        <x:v>10</x:v>
      </x:c>
      <x:c r="H59" s="9" t="n">
        <x:v>7</x:v>
      </x:c>
      <x:c r="I59" s="10" t="str"/>
      <x:c r="J59" s="10" t="str">
        <x:v>No Supy name match</x:v>
      </x:c>
      <x:c r="K59" s="10" t="str"/>
    </x:row>
    <x:row r="60" ht="66" customHeight="1">
      <x:c r="A60" s="2" t="n">
        <x:v>51</x:v>
      </x:c>
      <x:c r="B60" s="8" t="str">
        <x:v>000637</x:v>
      </x:c>
      <x:c r="C60" s="10" t="str">
        <x:v>CARROT CUP CAKE</x:v>
      </x:c>
      <x:c r="D60" s="2" t="str">
        <x:v>Snack</x:v>
      </x:c>
      <x:c r="E60" s="10" t="str">
        <x:v>Almond, Brown Sugar, Carrot, Cinnamon, Egg, Gluten Free Flour, Nutmeg, Protein Powder, Raisins, Vanilla, Walnut</x:v>
      </x:c>
      <x:c r="F60" s="9" t="n">
        <x:v>16</x:v>
      </x:c>
      <x:c r="G60" s="9" t="n">
        <x:v>10</x:v>
      </x:c>
      <x:c r="H60" s="9" t="n">
        <x:v>7</x:v>
      </x:c>
      <x:c r="I60" s="10" t="str"/>
      <x:c r="J60" s="10" t="str">
        <x:v>No Supy name match</x:v>
      </x:c>
      <x:c r="K60" s="10" t="str"/>
    </x:row>
    <x:row r="61" ht="66" customHeight="1">
      <x:c r="A61" s="2" t="n">
        <x:v>52</x:v>
      </x:c>
      <x:c r="B61" s="8" t="str">
        <x:v>000638</x:v>
      </x:c>
      <x:c r="C61" s="10" t="str">
        <x:v>SWEET POTATO BALL</x:v>
      </x:c>
      <x:c r="D61" s="2" t="str">
        <x:v>Snack</x:v>
      </x:c>
      <x:c r="E61" s="10" t="str">
        <x:v>All Nuts, Chia, Cinnamon, Dates, Oats, Sweet Potato, Walnut</x:v>
      </x:c>
      <x:c r="F61" s="9" t="n">
        <x:v>15</x:v>
      </x:c>
      <x:c r="G61" s="9" t="n">
        <x:v>10</x:v>
      </x:c>
      <x:c r="H61" s="9" t="n">
        <x:v>7</x:v>
      </x:c>
      <x:c r="I61" s="10" t="str"/>
      <x:c r="J61" s="10" t="str">
        <x:v>No Supy name match</x:v>
      </x:c>
      <x:c r="K61" s="10" t="str"/>
    </x:row>
    <x:row r="62" ht="66" customHeight="1">
      <x:c r="A62" s="2" t="n">
        <x:v>53</x:v>
      </x:c>
      <x:c r="B62" s="8" t="str">
        <x:v>000655</x:v>
      </x:c>
      <x:c r="C62" s="10" t="str">
        <x:v>PUMPKIN ENERGY MUFFIN</x:v>
      </x:c>
      <x:c r="D62" s="2" t="str">
        <x:v>Snack</x:v>
      </x:c>
      <x:c r="E62" s="10" t="str">
        <x:v>Almond Milk, Gluten Free Flour, Cocoa, Egg, Sugar, Vanilla, Protein Powder, Butternut</x:v>
      </x:c>
      <x:c r="F62" s="9" t="n">
        <x:v>12</x:v>
      </x:c>
      <x:c r="G62" s="9" t="n">
        <x:v>10</x:v>
      </x:c>
      <x:c r="H62" s="9" t="n">
        <x:v>6</x:v>
      </x:c>
      <x:c r="I62" s="10" t="str"/>
      <x:c r="J62" s="10" t="str">
        <x:v>No Supy name match</x:v>
      </x:c>
      <x:c r="K62" s="10" t="str"/>
    </x:row>
    <x:row r="63" ht="66" customHeight="1">
      <x:c r="A63" s="2" t="n">
        <x:v>54</x:v>
      </x:c>
      <x:c r="B63" s="8" t="str">
        <x:v>000656</x:v>
      </x:c>
      <x:c r="C63" s="10" t="str">
        <x:v>BLUEBERRY WAFFLE</x:v>
      </x:c>
      <x:c r="D63" s="2" t="str">
        <x:v>Snack</x:v>
      </x:c>
      <x:c r="E63" s="10" t="str">
        <x:v>Egg, Oats, Blueberry, Almond Milk, Protein Powder, Brown Sugar, Gluten Free Flour</x:v>
      </x:c>
      <x:c r="F63" s="9" t="n">
        <x:v>12</x:v>
      </x:c>
      <x:c r="G63" s="9" t="n">
        <x:v>10</x:v>
      </x:c>
      <x:c r="H63" s="9" t="n">
        <x:v>9</x:v>
      </x:c>
      <x:c r="I63" s="10" t="str"/>
      <x:c r="J63" s="10" t="str">
        <x:v>No Supy name match</x:v>
      </x:c>
      <x:c r="K63" s="10" t="str"/>
    </x:row>
    <x:row r="64" ht="66" customHeight="1">
      <x:c r="A64" s="2" t="n">
        <x:v>55</x:v>
      </x:c>
      <x:c r="B64" s="8" t="str">
        <x:v>000714</x:v>
      </x:c>
      <x:c r="C64" s="10" t="str">
        <x:v>PEANUT BUTTER CRANBERRY RICE BRITTLES</x:v>
      </x:c>
      <x:c r="D64" s="2" t="str">
        <x:v>Snack</x:v>
      </x:c>
      <x:c r="E64" s="10" t="str">
        <x:v>Rice, All Nuts, Peanut Butter, Cranberry, Honey, Dairy</x:v>
      </x:c>
      <x:c r="F64" s="9" t="n">
        <x:v>18</x:v>
      </x:c>
      <x:c r="G64" s="9" t="n">
        <x:v>10</x:v>
      </x:c>
      <x:c r="H64" s="9" t="n">
        <x:v>8</x:v>
      </x:c>
      <x:c r="I64" s="10" t="str"/>
      <x:c r="J64" s="10" t="str">
        <x:v>No Supy name match</x:v>
      </x:c>
      <x:c r="K64" s="10" t="str"/>
    </x:row>
    <x:row r="65" ht="66" customHeight="1">
      <x:c r="A65" s="2" t="n">
        <x:v>56</x:v>
      </x:c>
      <x:c r="B65" s="8" t="str">
        <x:v>000715</x:v>
      </x:c>
      <x:c r="C65" s="10" t="str">
        <x:v>CRACKER BLISS BALLS</x:v>
      </x:c>
      <x:c r="D65" s="2" t="str">
        <x:v>Snack</x:v>
      </x:c>
      <x:c r="E65" s="10" t="str">
        <x:v>Gluten, Soy milk, Honey, Corn, Protein Powder, Butter, Dairy</x:v>
      </x:c>
      <x:c r="F65" s="9" t="n">
        <x:v>18</x:v>
      </x:c>
      <x:c r="G65" s="9" t="n">
        <x:v>10</x:v>
      </x:c>
      <x:c r="H65" s="9" t="n">
        <x:v>7</x:v>
      </x:c>
      <x:c r="I65" s="10" t="str">
        <x:v>Cracker Bliss Ball</x:v>
      </x:c>
      <x:c r="J65" s="10" t="str">
        <x:v>Matched to Supy snack</x:v>
      </x:c>
      <x:c r="K65" s="10" t="str">
        <x:v>Cracker Bliss Ball (uncategorized); Cracker Bliss Ball (Matter Immigration)</x:v>
      </x:c>
    </x:row>
    <x:row r="66" ht="66" customHeight="1">
      <x:c r="A66" s="2" t="n">
        <x:v>57</x:v>
      </x:c>
      <x:c r="B66" s="8" t="str">
        <x:v>000723</x:v>
      </x:c>
      <x:c r="C66" s="10" t="str">
        <x:v>FALAFEL</x:v>
      </x:c>
      <x:c r="D66" s="2" t="str">
        <x:v>Snack</x:v>
      </x:c>
      <x:c r="E66" s="10" t="str">
        <x:v>Sesame, Chickpeas, Lentil, Parsley</x:v>
      </x:c>
      <x:c r="F66" s="9" t="n">
        <x:v>16</x:v>
      </x:c>
      <x:c r="G66" s="9" t="n">
        <x:v>12</x:v>
      </x:c>
      <x:c r="H66" s="9" t="n">
        <x:v>6</x:v>
      </x:c>
      <x:c r="I66" s="10" t="str">
        <x:v>Falafel</x:v>
      </x:c>
      <x:c r="J66" s="10" t="str">
        <x:v>Matched to Supy snack</x:v>
      </x:c>
      <x:c r="K66" s="10" t="str"/>
    </x:row>
    <x:row r="67" ht="66" customHeight="1">
      <x:c r="A67" s="2" t="n">
        <x:v>58</x:v>
      </x:c>
      <x:c r="B67" s="8" t="str">
        <x:v>000730</x:v>
      </x:c>
      <x:c r="C67" s="10" t="str">
        <x:v>BACON BROCCOLI CHEDDAR EGG BISCUITS</x:v>
      </x:c>
      <x:c r="D67" s="2" t="str">
        <x:v>Snack</x:v>
      </x:c>
      <x:c r="E67" s="10" t="str">
        <x:v>Red Meat, Dairy, Cheese, Gluten</x:v>
      </x:c>
      <x:c r="F67" s="9" t="n">
        <x:v>16</x:v>
      </x:c>
      <x:c r="G67" s="9" t="n">
        <x:v>10</x:v>
      </x:c>
      <x:c r="H67" s="9" t="n">
        <x:v>8</x:v>
      </x:c>
      <x:c r="I67" s="10" t="str"/>
      <x:c r="J67" s="10" t="str">
        <x:v>No Supy name match</x:v>
      </x:c>
      <x:c r="K67" s="10" t="str"/>
    </x:row>
    <x:row r="68" ht="66" customHeight="1">
      <x:c r="A68" s="2" t="n">
        <x:v>59</x:v>
      </x:c>
      <x:c r="B68" s="8" t="str">
        <x:v>000734</x:v>
      </x:c>
      <x:c r="C68" s="10" t="str">
        <x:v>STRAWBERRY BASIL LIME CHEESECAKE</x:v>
      </x:c>
      <x:c r="D68" s="2" t="str">
        <x:v>Snack</x:v>
      </x:c>
      <x:c r="E68" s="10" t="str">
        <x:v>Gluten, All Fruits, Raspberry , Strawberry, Dairy, Cheese, Milk, Egg, Basil, Lemon</x:v>
      </x:c>
      <x:c r="F68" s="9" t="n">
        <x:v>18</x:v>
      </x:c>
      <x:c r="G68" s="9" t="n">
        <x:v>10</x:v>
      </x:c>
      <x:c r="H68" s="9" t="n">
        <x:v>8</x:v>
      </x:c>
      <x:c r="I68" s="10" t="str"/>
      <x:c r="J68" s="10" t="str">
        <x:v>No Supy name match</x:v>
      </x:c>
      <x:c r="K68" s="10" t="str"/>
    </x:row>
    <x:row r="69" ht="66" customHeight="1">
      <x:c r="A69" s="2" t="n">
        <x:v>60</x:v>
      </x:c>
      <x:c r="B69" s="8" t="str">
        <x:v>000735</x:v>
      </x:c>
      <x:c r="C69" s="10" t="str">
        <x:v>DATE COCONUT BALLS</x:v>
      </x:c>
      <x:c r="D69" s="2" t="str">
        <x:v>Snack</x:v>
      </x:c>
      <x:c r="E69" s="10" t="str">
        <x:v>Dates, Coconut, All Nuts, Cashew, Almond, Cocoa, Vanilla</x:v>
      </x:c>
      <x:c r="F69" s="9" t="n">
        <x:v>14</x:v>
      </x:c>
      <x:c r="G69" s="9" t="n">
        <x:v>10</x:v>
      </x:c>
      <x:c r="H69" s="9" t="n">
        <x:v>6</x:v>
      </x:c>
      <x:c r="I69" s="10" t="str"/>
      <x:c r="J69" s="10" t="str">
        <x:v>No Supy name match</x:v>
      </x:c>
      <x:c r="K69" s="10" t="str"/>
    </x:row>
    <x:row r="70" ht="66" customHeight="1">
      <x:c r="A70" s="2" t="n">
        <x:v>61</x:v>
      </x:c>
      <x:c r="B70" s="8" t="str">
        <x:v>000736</x:v>
      </x:c>
      <x:c r="C70" s="10" t="str">
        <x:v>LEMON POUND CAKE</x:v>
      </x:c>
      <x:c r="D70" s="2" t="str">
        <x:v>Snack</x:v>
      </x:c>
      <x:c r="E70" s="10" t="str">
        <x:v>Gluten, Egg, Lemon, Honey, Dairy, Yogurt, Butter, Vanilla, All Nuts, Almond</x:v>
      </x:c>
      <x:c r="F70" s="9" t="n">
        <x:v>20</x:v>
      </x:c>
      <x:c r="G70" s="9" t="n">
        <x:v>10</x:v>
      </x:c>
      <x:c r="H70" s="9" t="n">
        <x:v>9</x:v>
      </x:c>
      <x:c r="I70" s="10" t="str"/>
      <x:c r="J70" s="10" t="str">
        <x:v>No Supy name match</x:v>
      </x:c>
      <x:c r="K70" s="10" t="str"/>
    </x:row>
    <x:row r="71" ht="66" customHeight="1">
      <x:c r="A71" s="2" t="n">
        <x:v>62</x:v>
      </x:c>
      <x:c r="B71" s="8" t="str">
        <x:v>000838</x:v>
      </x:c>
      <x:c r="C71" s="10" t="str">
        <x:v>DATE CINNAMON MUFFINS</x:v>
      </x:c>
      <x:c r="D71" s="2" t="str">
        <x:v>Snack</x:v>
      </x:c>
      <x:c r="E71" s="10" t="str"/>
      <x:c r="F71" s="9" t="n">
        <x:v>16</x:v>
      </x:c>
      <x:c r="G71" s="9" t="n">
        <x:v>12</x:v>
      </x:c>
      <x:c r="H71" s="9" t="n">
        <x:v>6</x:v>
      </x:c>
      <x:c r="I71" s="10" t="str">
        <x:v>Date Cinnamon Muffins</x:v>
      </x:c>
      <x:c r="J71" s="10" t="str">
        <x:v>Matched to Supy snack</x:v>
      </x:c>
      <x:c r="K71" s="10" t="str"/>
    </x:row>
    <x:row r="72" ht="66" customHeight="1">
      <x:c r="A72" s="2" t="n">
        <x:v>63</x:v>
      </x:c>
      <x:c r="B72" s="8" t="str">
        <x:v>000839</x:v>
      </x:c>
      <x:c r="C72" s="10" t="str">
        <x:v>SESAME TREAT</x:v>
      </x:c>
      <x:c r="D72" s="2" t="str">
        <x:v>Snack</x:v>
      </x:c>
      <x:c r="E72" s="10" t="str"/>
      <x:c r="F72" s="9" t="n">
        <x:v>18</x:v>
      </x:c>
      <x:c r="G72" s="9" t="n">
        <x:v>10</x:v>
      </x:c>
      <x:c r="H72" s="9" t="n">
        <x:v>8</x:v>
      </x:c>
      <x:c r="I72" s="10" t="str">
        <x:v>Sesame Treat</x:v>
      </x:c>
      <x:c r="J72" s="10" t="str">
        <x:v>Matched to Supy snack</x:v>
      </x:c>
      <x:c r="K72" s="10" t="str">
        <x:v>Sesame Treat (uncategorized)</x:v>
      </x:c>
    </x:row>
    <x:row r="73" ht="66" customHeight="1">
      <x:c r="A73" s="2" t="n">
        <x:v>64</x:v>
      </x:c>
      <x:c r="B73" s="8" t="str">
        <x:v>000840</x:v>
      </x:c>
      <x:c r="C73" s="10" t="str">
        <x:v>FUNFETTI MUFFINS</x:v>
      </x:c>
      <x:c r="D73" s="2" t="str">
        <x:v>Snack</x:v>
      </x:c>
      <x:c r="E73" s="10" t="str"/>
      <x:c r="F73" s="9" t="n">
        <x:v>15</x:v>
      </x:c>
      <x:c r="G73" s="9" t="n">
        <x:v>10</x:v>
      </x:c>
      <x:c r="H73" s="9" t="n">
        <x:v>6</x:v>
      </x:c>
      <x:c r="I73" s="10" t="str">
        <x:v>Funfetti Muffins</x:v>
      </x:c>
      <x:c r="J73" s="10" t="str">
        <x:v>Matched to Supy snack</x:v>
      </x:c>
      <x:c r="K73" s="10" t="str"/>
    </x:row>
    <x:row r="74" ht="66" customHeight="1">
      <x:c r="A74" s="2" t="n">
        <x:v>65</x:v>
      </x:c>
      <x:c r="B74" s="8" t="str">
        <x:v>000842</x:v>
      </x:c>
      <x:c r="C74" s="10" t="str">
        <x:v>CINNAMON ROLL ENERGY BALL</x:v>
      </x:c>
      <x:c r="D74" s="2" t="str">
        <x:v>Snack</x:v>
      </x:c>
      <x:c r="E74" s="10" t="str"/>
      <x:c r="F74" s="9" t="n">
        <x:v>19</x:v>
      </x:c>
      <x:c r="G74" s="9" t="n">
        <x:v>10</x:v>
      </x:c>
      <x:c r="H74" s="9" t="n">
        <x:v>6</x:v>
      </x:c>
      <x:c r="I74" s="10" t="str">
        <x:v>Cinnamon Roll Energy Ball</x:v>
      </x:c>
      <x:c r="J74" s="10" t="str">
        <x:v>Matched to Supy snack</x:v>
      </x:c>
      <x:c r="K74" s="10" t="str">
        <x:v>Cinnamon Roll Energy Ball (uncategorized)</x:v>
      </x:c>
    </x:row>
    <x:row r="75" ht="66" customHeight="1">
      <x:c r="A75" s="2" t="n">
        <x:v>66</x:v>
      </x:c>
      <x:c r="B75" s="8" t="str">
        <x:v>000843</x:v>
      </x:c>
      <x:c r="C75" s="10" t="str">
        <x:v>PEANUT BUTTER MUFFINS</x:v>
      </x:c>
      <x:c r="D75" s="2" t="str">
        <x:v>Snack</x:v>
      </x:c>
      <x:c r="E75" s="10" t="str"/>
      <x:c r="F75" s="9" t="n">
        <x:v>15</x:v>
      </x:c>
      <x:c r="G75" s="9" t="n">
        <x:v>10</x:v>
      </x:c>
      <x:c r="H75" s="9" t="n">
        <x:v>6</x:v>
      </x:c>
      <x:c r="I75" s="10" t="str">
        <x:v>Peanut Butter Muffins</x:v>
      </x:c>
      <x:c r="J75" s="10" t="str">
        <x:v>Matched to Supy snack</x:v>
      </x:c>
      <x:c r="K75" s="10" t="str">
        <x:v>Peanut Butter Muffins (uncategorized); Peanut Butter Muffins (Breakfast)</x:v>
      </x:c>
    </x:row>
    <x:row r="76" ht="66" customHeight="1">
      <x:c r="A76" s="2" t="n">
        <x:v>67</x:v>
      </x:c>
      <x:c r="B76" s="8" t="str">
        <x:v>000844</x:v>
      </x:c>
      <x:c r="C76" s="10" t="str">
        <x:v>BLUEBERRY COOKIES</x:v>
      </x:c>
      <x:c r="D76" s="2" t="str">
        <x:v>Snack</x:v>
      </x:c>
      <x:c r="E76" s="10" t="str"/>
      <x:c r="F76" s="9" t="n">
        <x:v>16</x:v>
      </x:c>
      <x:c r="G76" s="9" t="n">
        <x:v>12</x:v>
      </x:c>
      <x:c r="H76" s="9" t="n">
        <x:v>8</x:v>
      </x:c>
      <x:c r="I76" s="10" t="str">
        <x:v>Blueberry Cookies</x:v>
      </x:c>
      <x:c r="J76" s="10" t="str">
        <x:v>Matched to Supy snack</x:v>
      </x:c>
      <x:c r="K76" s="10" t="str">
        <x:v>Blueberry Cookies (uncategorized)</x:v>
      </x:c>
    </x:row>
    <x:row r="77" ht="66" customHeight="1">
      <x:c r="A77" s="2" t="n">
        <x:v>68</x:v>
      </x:c>
      <x:c r="B77" s="8" t="str">
        <x:v>000845</x:v>
      </x:c>
      <x:c r="C77" s="10" t="str">
        <x:v>COOKIES &amp; CREAM CHEESE CAKE</x:v>
      </x:c>
      <x:c r="D77" s="2" t="str">
        <x:v>Snack</x:v>
      </x:c>
      <x:c r="E77" s="10" t="str"/>
      <x:c r="F77" s="9" t="n">
        <x:v>18</x:v>
      </x:c>
      <x:c r="G77" s="9" t="n">
        <x:v>10</x:v>
      </x:c>
      <x:c r="H77" s="9" t="n">
        <x:v>8</x:v>
      </x:c>
      <x:c r="I77" s="10" t="str">
        <x:v>Cookies &amp; Cream Cheese Cake</x:v>
      </x:c>
      <x:c r="J77" s="10" t="str">
        <x:v>Matched to Supy snack</x:v>
      </x:c>
      <x:c r="K77" s="10" t="str">
        <x:v>Cookies &amp; Cream Cheese Cake (uncategorized)</x:v>
      </x:c>
    </x:row>
    <x:row r="78" ht="66" customHeight="1">
      <x:c r="A78" s="2" t="n">
        <x:v>69</x:v>
      </x:c>
      <x:c r="B78" s="8" t="str">
        <x:v>000846</x:v>
      </x:c>
      <x:c r="C78" s="10" t="str">
        <x:v>PARADISE CAKE</x:v>
      </x:c>
      <x:c r="D78" s="2" t="str">
        <x:v>Snack</x:v>
      </x:c>
      <x:c r="E78" s="10" t="str"/>
      <x:c r="F78" s="9" t="n">
        <x:v>18</x:v>
      </x:c>
      <x:c r="G78" s="9" t="n">
        <x:v>12</x:v>
      </x:c>
      <x:c r="H78" s="9" t="n">
        <x:v>6</x:v>
      </x:c>
      <x:c r="I78" s="10" t="str">
        <x:v>Paradise Cake</x:v>
      </x:c>
      <x:c r="J78" s="10" t="str">
        <x:v>Matched to Supy snack</x:v>
      </x:c>
      <x:c r="K78" s="10" t="str">
        <x:v>Paradise Cake (uncategorized)</x:v>
      </x:c>
    </x:row>
    <x:row r="79" ht="66" customHeight="1">
      <x:c r="A79" s="2" t="n">
        <x:v>70</x:v>
      </x:c>
      <x:c r="B79" s="8" t="str">
        <x:v>000847</x:v>
      </x:c>
      <x:c r="C79" s="10" t="str">
        <x:v>HONEY JOYS</x:v>
      </x:c>
      <x:c r="D79" s="2" t="str">
        <x:v>Snack</x:v>
      </x:c>
      <x:c r="E79" s="10" t="str"/>
      <x:c r="F79" s="9" t="n">
        <x:v>20</x:v>
      </x:c>
      <x:c r="G79" s="9" t="n">
        <x:v>10</x:v>
      </x:c>
      <x:c r="H79" s="9" t="n">
        <x:v>7</x:v>
      </x:c>
      <x:c r="I79" s="10" t="str">
        <x:v>Honey Joys</x:v>
      </x:c>
      <x:c r="J79" s="10" t="str">
        <x:v>Matched to Supy snack</x:v>
      </x:c>
      <x:c r="K79" s="10" t="str">
        <x:v>Honey Joys (uncategorized)</x:v>
      </x:c>
    </x:row>
    <x:row r="80" ht="66" customHeight="1">
      <x:c r="A80" s="2" t="n">
        <x:v>71</x:v>
      </x:c>
      <x:c r="B80" s="8" t="str">
        <x:v>000848</x:v>
      </x:c>
      <x:c r="C80" s="10" t="str">
        <x:v>CINNAMON COOKIES</x:v>
      </x:c>
      <x:c r="D80" s="2" t="str">
        <x:v>Snack</x:v>
      </x:c>
      <x:c r="E80" s="10" t="str"/>
      <x:c r="F80" s="9" t="n">
        <x:v>16</x:v>
      </x:c>
      <x:c r="G80" s="9" t="n">
        <x:v>12</x:v>
      </x:c>
      <x:c r="H80" s="9" t="n">
        <x:v>6</x:v>
      </x:c>
      <x:c r="I80" s="10" t="str">
        <x:v>Cinnamon Cookies</x:v>
      </x:c>
      <x:c r="J80" s="10" t="str">
        <x:v>Matched to Supy snack</x:v>
      </x:c>
      <x:c r="K80" s="10" t="str">
        <x:v>Cinnamon Cookies (uncategorized); Cinnamon Cookies (Batch Recipes )</x:v>
      </x:c>
    </x:row>
    <x:row r="81" ht="66" customHeight="1">
      <x:c r="A81" s="2" t="n">
        <x:v>72</x:v>
      </x:c>
      <x:c r="B81" s="8" t="str">
        <x:v>000849</x:v>
      </x:c>
      <x:c r="C81" s="10" t="str">
        <x:v>MIX BERRY BAR</x:v>
      </x:c>
      <x:c r="D81" s="2" t="str">
        <x:v>Snack</x:v>
      </x:c>
      <x:c r="E81" s="10" t="str"/>
      <x:c r="F81" s="9" t="n">
        <x:v>16</x:v>
      </x:c>
      <x:c r="G81" s="9" t="n">
        <x:v>10</x:v>
      </x:c>
      <x:c r="H81" s="9" t="n">
        <x:v>7</x:v>
      </x:c>
      <x:c r="I81" s="10" t="str">
        <x:v>Mix Berry Bar</x:v>
      </x:c>
      <x:c r="J81" s="10" t="str">
        <x:v>Matched to Supy snack</x:v>
      </x:c>
      <x:c r="K81" s="10" t="str">
        <x:v>Mix Berry Bar (uncategorized)</x:v>
      </x:c>
    </x:row>
    <x:row r="82" ht="66" customHeight="1">
      <x:c r="A82" s="2" t="n">
        <x:v>73</x:v>
      </x:c>
      <x:c r="B82" s="8" t="str">
        <x:v>000850</x:v>
      </x:c>
      <x:c r="C82" s="10" t="str">
        <x:v>CARROT CAKE BAR</x:v>
      </x:c>
      <x:c r="D82" s="2" t="str">
        <x:v>Snack</x:v>
      </x:c>
      <x:c r="E82" s="10" t="str"/>
      <x:c r="F82" s="9" t="n">
        <x:v>16</x:v>
      </x:c>
      <x:c r="G82" s="9" t="n">
        <x:v>10</x:v>
      </x:c>
      <x:c r="H82" s="9" t="n">
        <x:v>7</x:v>
      </x:c>
      <x:c r="I82" s="10" t="str">
        <x:v>Carrot Cake Bar</x:v>
      </x:c>
      <x:c r="J82" s="10" t="str">
        <x:v>Matched to Supy snack</x:v>
      </x:c>
      <x:c r="K82" s="10" t="str">
        <x:v>Carrot Cake Bar (uncategorized)</x:v>
      </x:c>
    </x:row>
    <x:row r="83" ht="66" customHeight="1">
      <x:c r="A83" s="2" t="n">
        <x:v>74</x:v>
      </x:c>
      <x:c r="B83" s="8" t="str">
        <x:v>000852</x:v>
      </x:c>
      <x:c r="C83" s="10" t="str">
        <x:v>PEANUT BUTTER BAR</x:v>
      </x:c>
      <x:c r="D83" s="2" t="str">
        <x:v>Snack</x:v>
      </x:c>
      <x:c r="E83" s="10" t="str"/>
      <x:c r="F83" s="9" t="n">
        <x:v>15</x:v>
      </x:c>
      <x:c r="G83" s="9" t="n">
        <x:v>10</x:v>
      </x:c>
      <x:c r="H83" s="9" t="n">
        <x:v>12</x:v>
      </x:c>
      <x:c r="I83" s="10" t="str">
        <x:v>Peanut Butter Bar</x:v>
      </x:c>
      <x:c r="J83" s="10" t="str">
        <x:v>Matched to Supy snack</x:v>
      </x:c>
      <x:c r="K83" s="10" t="str">
        <x:v>Peanut Butter Bar (uncategorized)</x:v>
      </x:c>
    </x:row>
    <x:row r="84" ht="66" customHeight="1">
      <x:c r="A84" s="2" t="n">
        <x:v>75</x:v>
      </x:c>
      <x:c r="B84" s="8" t="str">
        <x:v>000863</x:v>
      </x:c>
      <x:c r="C84" s="10" t="str">
        <x:v>MIX BERRY COOKIES</x:v>
      </x:c>
      <x:c r="D84" s="2" t="str">
        <x:v>Snack</x:v>
      </x:c>
      <x:c r="E84" s="10" t="str"/>
      <x:c r="F84" s="9" t="n">
        <x:v>14</x:v>
      </x:c>
      <x:c r="G84" s="9" t="n">
        <x:v>9</x:v>
      </x:c>
      <x:c r="H84" s="9" t="n">
        <x:v>9</x:v>
      </x:c>
      <x:c r="I84" s="10" t="str">
        <x:v>Mix Berry Cookies</x:v>
      </x:c>
      <x:c r="J84" s="10" t="str">
        <x:v>Matched to Supy snack</x:v>
      </x:c>
      <x:c r="K84" s="10" t="str">
        <x:v>Mix Berry Cookies (uncategorized)</x:v>
      </x:c>
    </x:row>
    <x:row r="85" ht="66" customHeight="1">
      <x:c r="A85" s="2" t="n">
        <x:v>76</x:v>
      </x:c>
      <x:c r="B85" s="8" t="str">
        <x:v>000866</x:v>
      </x:c>
      <x:c r="C85" s="10" t="str">
        <x:v>CINNAMON STRIPE CAKE</x:v>
      </x:c>
      <x:c r="D85" s="2" t="str">
        <x:v>Snack</x:v>
      </x:c>
      <x:c r="E85" s="10" t="str"/>
      <x:c r="F85" s="9" t="n">
        <x:v>16</x:v>
      </x:c>
      <x:c r="G85" s="9" t="n">
        <x:v>10</x:v>
      </x:c>
      <x:c r="H85" s="9" t="n">
        <x:v>7</x:v>
      </x:c>
      <x:c r="I85" s="10" t="str">
        <x:v>Cinnamon Stripe Cake</x:v>
      </x:c>
      <x:c r="J85" s="10" t="str">
        <x:v>Matched to Supy snack</x:v>
      </x:c>
      <x:c r="K85" s="10" t="str"/>
    </x:row>
    <x:row r="86" ht="66" customHeight="1">
      <x:c r="A86" s="2" t="n">
        <x:v>77</x:v>
      </x:c>
      <x:c r="B86" s="8" t="str">
        <x:v>000869</x:v>
      </x:c>
      <x:c r="C86" s="10" t="str">
        <x:v>CHEESECAKE BITES</x:v>
      </x:c>
      <x:c r="D86" s="2" t="str">
        <x:v>Snack</x:v>
      </x:c>
      <x:c r="E86" s="10" t="str"/>
      <x:c r="F86" s="9" t="n">
        <x:v>18</x:v>
      </x:c>
      <x:c r="G86" s="9" t="n">
        <x:v>10</x:v>
      </x:c>
      <x:c r="H86" s="9" t="n">
        <x:v>8</x:v>
      </x:c>
      <x:c r="I86" s="10" t="str">
        <x:v>Cheesecake Bites</x:v>
      </x:c>
      <x:c r="J86" s="10" t="str">
        <x:v>Matched to Supy snack</x:v>
      </x:c>
      <x:c r="K86" s="10" t="str"/>
    </x:row>
  </x:sheetData>
  <x:pageMargins left="0.7" right="0.7" top="0.75" bottom="0.75" header="0.3" footer="0.3"/>
  <x:tableParts count="1">
    <x:tablePart xmlns:r="http://schemas.openxmlformats.org/officeDocument/2006/relationships" r:id="Rd02e2e85430c4729"/>
  </x:tableParts>
</x:worksheet>
</file>