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44611e2a5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y breakfast" sheetId="1" r:id="Ra1245b6e34864adc"/>
    <x:sheet xmlns:r="http://schemas.openxmlformats.org/officeDocument/2006/relationships" name="Your breakfast list" sheetId="2" r:id="Re971a98a5e20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00000"/>
    <x:numFmt numFmtId="202" formatCode="0.##"/>
  </x:numFmts>
  <x:fonts count="6">
    <x:font>
      <x:sz val="11"/>
      <x:name val="Carlito"/>
    </x:font>
    <x:font>
      <x:sz val="10"/>
      <x:color rgb="FF17212B"/>
      <x:name val="Arial"/>
    </x:font>
    <x:font>
      <x:b/>
      <x:sz val="16"/>
      <x:color rgb="FF173526"/>
      <x:name val="Arial"/>
    </x:font>
    <x:font>
      <x:i/>
      <x:sz val="10"/>
      <x:color rgb="FF52616B"/>
      <x:name val="Arial"/>
    </x:font>
    <x:font>
      <x:b/>
      <x:sz val="10"/>
      <x:color rgb="FF17352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52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7D2CC"/>
      </x:bottom>
      <x:diagonal/>
    </x:border>
    <x:border>
      <x:left/>
      <x:right style="thin">
        <x:color rgb="FFCBD5E1"/>
      </x:right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5713d86f443ca" /><Relationship Type="http://schemas.openxmlformats.org/officeDocument/2006/relationships/theme" Target="/xl/theme/theme1.xml" Id="R3257fdd03dc24280" /><Relationship Type="http://schemas.openxmlformats.org/officeDocument/2006/relationships/sharedStrings" Target="/xl/sharedStrings.xml" Id="R224f765b8f9748f2" /><Relationship Type="http://schemas.openxmlformats.org/officeDocument/2006/relationships/worksheet" Target="/xl/worksheets/sheet1.xml" Id="Ra1245b6e34864adc" /><Relationship Type="http://schemas.openxmlformats.org/officeDocument/2006/relationships/worksheet" Target="/xl/worksheets/sheet2.xml" Id="Re971a98a5e204689" /></Relationships>
</file>

<file path=xl/tables/table1.xml><?xml version="1.0" encoding="utf-8"?>
<x:table xmlns:x="http://schemas.openxmlformats.org/spreadsheetml/2006/main" id="1" name="SupyBreakfastComparison" displayName="SupyBreakfastComparison" ref="A9:M148" headerRowCount="1" totalsRowCount="0" totalsRowShown="0">
  <x:autoFilter ref="A9:M148"/>
  <x:tableColumns count="13">
    <x:tableColumn id="1" name="Supy breakfast"/>
    <x:tableColumn id="2" name="File match"/>
    <x:tableColumn id="3" name="File C"/>
    <x:tableColumn id="4" name="File P"/>
    <x:tableColumn id="5" name="File F"/>
    <x:tableColumn id="6" name="Matched file name"/>
    <x:tableColumn id="7" name="Meal number"/>
    <x:tableColumn id="8" name="Supy code"/>
    <x:tableColumn id="9" name="Possible file names (unconfirmed)"/>
    <x:tableColumn id="10" name="Review / action"/>
    <x:tableColumn id="11" name="Supy recipe ID"/>
    <x:tableColumn id="12" name="Supy portion quantity"/>
    <x:tableColumn id="13" name="Supy 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eakfastMacroSource" displayName="BreakfastMacroSource" ref="A9:K145" headerRowCount="1" totalsRowCount="0" totalsRowShown="0">
  <x:autoFilter ref="A9:K145"/>
  <x:tableColumns count="11">
    <x:tableColumn id="1" name="Record #"/>
    <x:tableColumn id="2" name="Meal number"/>
    <x:tableColumn id="3" name="Breakfast name"/>
    <x:tableColumn id="4" name="Meal type"/>
    <x:tableColumn id="5" name="Ingredients"/>
    <x:tableColumn id="6" name="Carbs (C)"/>
    <x:tableColumn id="7" name="Protein (P)"/>
    <x:tableColumn id="8" name="Fat (F)"/>
    <x:tableColumn id="9" name="Supy Breakfast names"/>
    <x:tableColumn id="10" name="Match status"/>
    <x:tableColumn id="11" name="Related Supy recipes in other categor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e2fbf3ade84d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99b1d2aecd4cd0" /></Relationships>
</file>

<file path=xl/worksheets/sheet1.xml><?xml version="1.0" encoding="utf-8"?>
<x:worksheet xmlns:x="http://schemas.openxmlformats.org/spreadsheetml/2006/main">
  <x:sheetPr>
    <x:tabColor rgb="FF173526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12" hidden="0" customWidth="1"/>
    <x:col min="4" max="4" width="12" hidden="0" customWidth="1"/>
    <x:col min="5" max="5" width="12" hidden="0" customWidth="1"/>
    <x:col min="6" max="6" width="44" hidden="0" customWidth="1"/>
    <x:col min="7" max="7" width="16" hidden="0" customWidth="1"/>
    <x:col min="8" max="8" width="15" hidden="0" customWidth="1"/>
    <x:col min="9" max="9" width="82" hidden="0" customWidth="1"/>
    <x:col min="10" max="10" width="62" hidden="0" customWidth="1"/>
    <x:col min="11" max="11" width="28" hidden="0" customWidth="1"/>
    <x:col min="12" max="12" width="20" hidden="0" customWidth="1"/>
    <x:col min="13" max="13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4" t="str">
        <x:v>Supy breakfasts compared with your macro list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Sources: available Supy Breakfast recipes fetched 26/10/2026, 15:07:56 Dubai; Meals List 10-26-2026.xls supplied by you.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4" customHeight="1">
      <x:c r="A4" s="6" t="str">
        <x:v>File macros are linked to the original rows on Your breakfast list. Names alone do not verify recipe or serving size.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4" customHeight="1">
      <x:c r="A5" s="6" t="str">
        <x:v>Large (L) portions are not matched to standard recipes automatically. Possible names are unconfirmed; their macros are not copied.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 ht="24" customHeight="1">
      <x:c r="A6" s="7" t="str">
        <x:v>Supy recipes</x:v>
      </x:c>
      <x:c r="B6" s="7" t="n">
        <x:f>COUNTA(A10:A148)</x:f>
        <x:v>139</x:v>
      </x:c>
      <x:c r="C6" s="7"/>
      <x:c r="D6" s="7" t="str">
        <x:v>Matched</x:v>
      </x:c>
      <x:c r="E6" s="7" t="n">
        <x:f>COUNTIFS(B10:B148,"Exact name")+COUNTIFS(B10:B148,"Name variant")</x:f>
        <x:v>40</x:v>
      </x:c>
      <x:c r="F6" s="7"/>
      <x:c r="G6" s="7" t="str">
        <x:v>Not matched</x:v>
      </x:c>
      <x:c r="H6" s="7" t="n">
        <x:f>B6-E6</x:f>
        <x:v>99</x:v>
      </x:c>
      <x:c r="I6" s="7"/>
      <x:c r="J6" s="7" t="str">
        <x:v>Name variants</x:v>
      </x:c>
      <x:c r="K6" s="7" t="n">
        <x:f>COUNTIFS(B10:B148,"Name variant")</x:f>
        <x:v>10</x:v>
      </x:c>
      <x:c r="L6" s="7"/>
      <x:c r="M6" s="7"/>
    </x:row>
    <x:row r="7" ht="24" customHeight="1">
      <x:c r="A7" s="2" t="str">
        <x:v>All 139 Supy recipe records are retained, including two separate Tahina Baklava Oats recipes with different Supy IDs.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40" customHeight="1">
      <x:c r="A9" s="21" t="str">
        <x:v>Supy breakfast</x:v>
      </x:c>
      <x:c r="B9" s="21" t="str">
        <x:v>File match</x:v>
      </x:c>
      <x:c r="C9" s="21" t="str">
        <x:v>File C</x:v>
      </x:c>
      <x:c r="D9" s="21" t="str">
        <x:v>File P</x:v>
      </x:c>
      <x:c r="E9" s="22" t="str">
        <x:v>File F</x:v>
      </x:c>
      <x:c r="F9" s="21" t="str">
        <x:v>Matched file name</x:v>
      </x:c>
      <x:c r="G9" s="21" t="str">
        <x:v>Meal number</x:v>
      </x:c>
      <x:c r="H9" s="21" t="str">
        <x:v>Supy code</x:v>
      </x:c>
      <x:c r="I9" s="21" t="str">
        <x:v>Possible file names (unconfirmed)</x:v>
      </x:c>
      <x:c r="J9" s="21" t="str">
        <x:v>Review / action</x:v>
      </x:c>
      <x:c r="K9" s="21" t="str">
        <x:v>Supy recipe ID</x:v>
      </x:c>
      <x:c r="L9" s="21" t="str">
        <x:v>Supy portion quantity</x:v>
      </x:c>
      <x:c r="M9" s="21" t="str">
        <x:v>Supy unit</x:v>
      </x:c>
    </x:row>
    <x:row r="10" ht="56" customHeight="1">
      <x:c r="A10" s="12" t="str">
        <x:v>Air Fry Cauliflower Ball</x:v>
      </x:c>
      <x:c r="B10" s="12" t="str">
        <x:v>Name variant</x:v>
      </x:c>
      <x:c r="C10" s="9" t="n">
        <x:f>IF(ISNUMBER('Your breakfast list'!F60),'Your breakfast list'!F60,"")</x:f>
        <x:v>32</x:v>
      </x:c>
      <x:c r="D10" s="9" t="n">
        <x:f>IF(ISNUMBER('Your breakfast list'!G60),'Your breakfast list'!G60,"")</x:f>
        <x:v>24</x:v>
      </x:c>
      <x:c r="E10" s="14" t="n">
        <x:f>IF(ISNUMBER('Your breakfast list'!H60),'Your breakfast list'!H60,"")</x:f>
        <x:v>19</x:v>
      </x:c>
      <x:c r="F10" s="12" t="str">
        <x:f>'Your breakfast list'!C60</x:f>
        <x:v>AIR FRY CAULIFLOWER BALLS</x:v>
      </x:c>
      <x:c r="G10" s="10" t="str">
        <x:f>'Your breakfast list'!B60</x:f>
        <x:v>000430</x:v>
      </x:c>
      <x:c r="H10" s="2" t="str">
        <x:v>22574b</x:v>
      </x:c>
      <x:c r="I10" s="12" t="str"/>
      <x:c r="J10" s="12" t="str">
        <x:v>Punctuation or singular/plural variant. Confirm recipe and serving before importing macros.</x:v>
      </x:c>
      <x:c r="K10" s="2" t="str">
        <x:v>664df547cfa6820246817722</x:v>
      </x:c>
      <x:c r="L10" s="11" t="n">
        <x:v>2.77</x:v>
      </x:c>
      <x:c r="M10" s="2" t="str">
        <x:v>Piece</x:v>
      </x:c>
    </x:row>
    <x:row r="11" ht="56" customHeight="1">
      <x:c r="A11" s="12" t="str">
        <x:v>Baked Egg &amp; Veg</x:v>
      </x:c>
      <x:c r="B11" s="12" t="str">
        <x:v>Name variant</x:v>
      </x:c>
      <x:c r="C11" s="9" t="n">
        <x:f>IF(ISNUMBER('Your breakfast list'!F30),'Your breakfast list'!F30,"")</x:f>
        <x:v>36</x:v>
      </x:c>
      <x:c r="D11" s="9" t="n">
        <x:f>IF(ISNUMBER('Your breakfast list'!G30),'Your breakfast list'!G30,"")</x:f>
        <x:v>24</x:v>
      </x:c>
      <x:c r="E11" s="14" t="n">
        <x:f>IF(ISNUMBER('Your breakfast list'!H30),'Your breakfast list'!H30,"")</x:f>
        <x:v>18</x:v>
      </x:c>
      <x:c r="F11" s="12" t="str">
        <x:f>'Your breakfast list'!C30</x:f>
        <x:v>BAKED EGG AND VEG</x:v>
      </x:c>
      <x:c r="G11" s="10" t="str">
        <x:f>'Your breakfast list'!B30</x:f>
        <x:v>000122</x:v>
      </x:c>
      <x:c r="H11" s="2" t="str">
        <x:v>eed510</x:v>
      </x:c>
      <x:c r="I11" s="12" t="str"/>
      <x:c r="J11" s="12" t="str">
        <x:v>Punctuation or singular/plural variant. Confirm recipe and serving before importing macros.</x:v>
      </x:c>
      <x:c r="K11" s="2" t="str">
        <x:v>664df24fcfa682024681636e</x:v>
      </x:c>
      <x:c r="L11" s="11" t="n">
        <x:v>12</x:v>
      </x:c>
      <x:c r="M11" s="2" t="str">
        <x:v>Piece</x:v>
      </x:c>
    </x:row>
    <x:row r="12" ht="56" customHeight="1">
      <x:c r="A12" s="12" t="str">
        <x:v>Beef, Egg and Cheese Pillow</x:v>
      </x:c>
      <x:c r="B12" s="12" t="str">
        <x:v>Exact name</x:v>
      </x:c>
      <x:c r="C12" s="9" t="n">
        <x:f>IF(ISNUMBER('Your breakfast list'!F120),'Your breakfast list'!F120,"")</x:f>
        <x:v>45</x:v>
      </x:c>
      <x:c r="D12" s="9" t="n">
        <x:f>IF(ISNUMBER('Your breakfast list'!G120),'Your breakfast list'!G120,"")</x:f>
        <x:v>24</x:v>
      </x:c>
      <x:c r="E12" s="14" t="n">
        <x:f>IF(ISNUMBER('Your breakfast list'!H120),'Your breakfast list'!H120,"")</x:f>
        <x:v>16</x:v>
      </x:c>
      <x:c r="F12" s="12" t="str">
        <x:f>'Your breakfast list'!C120</x:f>
        <x:v>BEEF, EGG AND CHEESE PILLOW</x:v>
      </x:c>
      <x:c r="G12" s="10" t="str">
        <x:f>'Your breakfast list'!B120</x:f>
        <x:v>000828</x:v>
      </x:c>
      <x:c r="H12" s="2" t="str">
        <x:v>fff738</x:v>
      </x:c>
      <x:c r="I12" s="12" t="str"/>
      <x:c r="J12" s="12" t="str">
        <x:v>Name matches your file. Verify the Supy recipe and portion before reuse.</x:v>
      </x:c>
      <x:c r="K12" s="2" t="str">
        <x:v>66a37eaf7283433beb134f2f</x:v>
      </x:c>
      <x:c r="L12" s="11" t="n">
        <x:v>2</x:v>
      </x:c>
      <x:c r="M12" s="2" t="str">
        <x:v>Piece</x:v>
      </x:c>
    </x:row>
    <x:row r="13" ht="56" customHeight="1">
      <x:c r="A13" s="12" t="str">
        <x:v>Beetroot Pancake</x:v>
      </x:c>
      <x:c r="B13" s="12" t="str">
        <x:v>Exact name</x:v>
      </x:c>
      <x:c r="C13" s="9" t="n">
        <x:f>IF(ISNUMBER('Your breakfast list'!F136),'Your breakfast list'!F136,"")</x:f>
        <x:v>40</x:v>
      </x:c>
      <x:c r="D13" s="9" t="n">
        <x:f>IF(ISNUMBER('Your breakfast list'!G136),'Your breakfast list'!G136,"")</x:f>
        <x:v>23</x:v>
      </x:c>
      <x:c r="E13" s="14" t="n">
        <x:f>IF(ISNUMBER('Your breakfast list'!H136),'Your breakfast list'!H136,"")</x:f>
        <x:v>15</x:v>
      </x:c>
      <x:c r="F13" s="12" t="str">
        <x:f>'Your breakfast list'!C136</x:f>
        <x:v>BEETROOT PANCAKE</x:v>
      </x:c>
      <x:c r="G13" s="10" t="str">
        <x:f>'Your breakfast list'!B136</x:f>
        <x:v>000861</x:v>
      </x:c>
      <x:c r="H13" s="2" t="str">
        <x:v>dbb710</x:v>
      </x:c>
      <x:c r="I13" s="12" t="str"/>
      <x:c r="J13" s="12" t="str">
        <x:v>Name matches your file. Verify the Supy recipe and portion before reuse.</x:v>
      </x:c>
      <x:c r="K13" s="2" t="str">
        <x:v>665da6a009960c02fed6f0f5</x:v>
      </x:c>
      <x:c r="L13" s="11" t="n">
        <x:v>49</x:v>
      </x:c>
      <x:c r="M13" s="2" t="str">
        <x:v>Piece</x:v>
      </x:c>
    </x:row>
    <x:row r="14" ht="56" customHeight="1">
      <x:c r="A14" s="12" t="str">
        <x:v>Blueberry Oats</x:v>
      </x:c>
      <x:c r="B14" s="12" t="str">
        <x:v>Exact name</x:v>
      </x:c>
      <x:c r="C14" s="9" t="n">
        <x:f>IF(ISNUMBER('Your breakfast list'!F10),'Your breakfast list'!F10,"")</x:f>
        <x:v>42</x:v>
      </x:c>
      <x:c r="D14" s="9" t="n">
        <x:f>IF(ISNUMBER('Your breakfast list'!G10),'Your breakfast list'!G10,"")</x:f>
        <x:v>35</x:v>
      </x:c>
      <x:c r="E14" s="14" t="n">
        <x:f>IF(ISNUMBER('Your breakfast list'!H10),'Your breakfast list'!H10,"")</x:f>
        <x:v>18</x:v>
      </x:c>
      <x:c r="F14" s="12" t="str">
        <x:f>'Your breakfast list'!C10</x:f>
        <x:v>Blueberry Oats</x:v>
      </x:c>
      <x:c r="G14" s="10" t="str">
        <x:f>'Your breakfast list'!B10</x:f>
        <x:v>000071</x:v>
      </x:c>
      <x:c r="H14" s="2" t="str">
        <x:v>c92163</x:v>
      </x:c>
      <x:c r="I14" s="12" t="str"/>
      <x:c r="J14" s="12" t="str">
        <x:v>Name matches your file. Verify the Supy recipe and portion before reuse.</x:v>
      </x:c>
      <x:c r="K14" s="2" t="str">
        <x:v>6669aaedee81af00e43f0327</x:v>
      </x:c>
      <x:c r="L14" s="11" t="n">
        <x:v>69</x:v>
      </x:c>
      <x:c r="M14" s="2" t="str">
        <x:v>Piece</x:v>
      </x:c>
    </x:row>
    <x:row r="15" ht="56" customHeight="1">
      <x:c r="A15" s="12" t="str">
        <x:v>Blueberry Shortcake Oats</x:v>
      </x:c>
      <x:c r="B15" s="12" t="str">
        <x:v>Name variant</x:v>
      </x:c>
      <x:c r="C15" s="9" t="n">
        <x:f>IF(ISNUMBER('Your breakfast list'!F110),'Your breakfast list'!F110,"")</x:f>
        <x:v>42</x:v>
      </x:c>
      <x:c r="D15" s="9" t="n">
        <x:f>IF(ISNUMBER('Your breakfast list'!G110),'Your breakfast list'!G110,"")</x:f>
        <x:v>22</x:v>
      </x:c>
      <x:c r="E15" s="14" t="n">
        <x:f>IF(ISNUMBER('Your breakfast list'!H110),'Your breakfast list'!H110,"")</x:f>
        <x:v>18</x:v>
      </x:c>
      <x:c r="F15" s="12" t="str">
        <x:f>'Your breakfast list'!C110</x:f>
        <x:v>BLUEBERRY SHORT CAKE OATS</x:v>
      </x:c>
      <x:c r="G15" s="10" t="str">
        <x:f>'Your breakfast list'!B110</x:f>
        <x:v>000818</x:v>
      </x:c>
      <x:c r="H15" s="2" t="str">
        <x:v>5c1f88</x:v>
      </x:c>
      <x:c r="I15" s="12" t="str"/>
      <x:c r="J15" s="12" t="str">
        <x:v>Punctuation or singular/plural variant. Confirm recipe and serving before importing macros.</x:v>
      </x:c>
      <x:c r="K15" s="2" t="str">
        <x:v>6641cce6bce341cb70bc0f1a</x:v>
      </x:c>
      <x:c r="L15" s="11" t="n">
        <x:v>1</x:v>
      </x:c>
      <x:c r="M15" s="2" t="str">
        <x:v>Piece</x:v>
      </x:c>
    </x:row>
    <x:row r="16" ht="56" customHeight="1">
      <x:c r="A16" s="12" t="str">
        <x:v>Breakfast Egg Wrap</x:v>
      </x:c>
      <x:c r="B16" s="12" t="str">
        <x:v>Exact name</x:v>
      </x:c>
      <x:c r="C16" s="9" t="n">
        <x:f>IF(ISNUMBER('Your breakfast list'!F93),'Your breakfast list'!F93,"")</x:f>
        <x:v>38</x:v>
      </x:c>
      <x:c r="D16" s="9" t="n">
        <x:f>IF(ISNUMBER('Your breakfast list'!G93),'Your breakfast list'!G93,"")</x:f>
        <x:v>26</x:v>
      </x:c>
      <x:c r="E16" s="14" t="n">
        <x:f>IF(ISNUMBER('Your breakfast list'!H93),'Your breakfast list'!H93,"")</x:f>
        <x:v>18</x:v>
      </x:c>
      <x:c r="F16" s="12" t="str">
        <x:f>'Your breakfast list'!C93</x:f>
        <x:v>BREAKFAST EGG WRAP</x:v>
      </x:c>
      <x:c r="G16" s="10" t="str">
        <x:f>'Your breakfast list'!B93</x:f>
        <x:v>000680</x:v>
      </x:c>
      <x:c r="H16" s="2" t="str">
        <x:v>7bd213</x:v>
      </x:c>
      <x:c r="I16" s="12" t="str"/>
      <x:c r="J16" s="12" t="str">
        <x:v>Name matches your file. Verify the Supy recipe and portion before reuse.</x:v>
      </x:c>
      <x:c r="K16" s="2" t="str">
        <x:v>6662b5c88c3fbffe36ef65f4</x:v>
      </x:c>
      <x:c r="L16" s="11" t="n">
        <x:v>1</x:v>
      </x:c>
      <x:c r="M16" s="2" t="str">
        <x:v>Piece</x:v>
      </x:c>
    </x:row>
    <x:row r="17" ht="56" customHeight="1">
      <x:c r="A17" s="12" t="str">
        <x:v>Cheddar Zucchini Muffins</x:v>
      </x:c>
      <x:c r="B17" s="12" t="str">
        <x:v>Exact name</x:v>
      </x:c>
      <x:c r="C17" s="9" t="n">
        <x:f>IF(ISNUMBER('Your breakfast list'!F134),'Your breakfast list'!F134,"")</x:f>
        <x:v>38</x:v>
      </x:c>
      <x:c r="D17" s="9" t="n">
        <x:f>IF(ISNUMBER('Your breakfast list'!G134),'Your breakfast list'!G134,"")</x:f>
        <x:v>22</x:v>
      </x:c>
      <x:c r="E17" s="14" t="n">
        <x:f>IF(ISNUMBER('Your breakfast list'!H134),'Your breakfast list'!H134,"")</x:f>
        <x:v>16</x:v>
      </x:c>
      <x:c r="F17" s="12" t="str">
        <x:f>'Your breakfast list'!C134</x:f>
        <x:v>CHEDDAR ZUCCHINI MUFFINS</x:v>
      </x:c>
      <x:c r="G17" s="10" t="str">
        <x:f>'Your breakfast list'!B134</x:f>
        <x:v>000859</x:v>
      </x:c>
      <x:c r="H17" s="2" t="str">
        <x:v>2851db</x:v>
      </x:c>
      <x:c r="I17" s="12" t="str"/>
      <x:c r="J17" s="12" t="str">
        <x:v>Name matches your file. Verify the Supy recipe and portion before reuse.</x:v>
      </x:c>
      <x:c r="K17" s="2" t="str">
        <x:v>667966f41330f25df72c4755</x:v>
      </x:c>
      <x:c r="L17" s="11" t="n">
        <x:v>47</x:v>
      </x:c>
      <x:c r="M17" s="2" t="str">
        <x:v>Piece</x:v>
      </x:c>
    </x:row>
    <x:row r="18" ht="56" customHeight="1">
      <x:c r="A18" s="12" t="str">
        <x:v>Choco Banana Oats</x:v>
      </x:c>
      <x:c r="B18" s="12" t="str">
        <x:v>Exact name</x:v>
      </x:c>
      <x:c r="C18" s="9" t="n">
        <x:f>IF(ISNUMBER('Your breakfast list'!F127),'Your breakfast list'!F127,"")</x:f>
        <x:v>42</x:v>
      </x:c>
      <x:c r="D18" s="9" t="n">
        <x:f>IF(ISNUMBER('Your breakfast list'!G127),'Your breakfast list'!G127,"")</x:f>
        <x:v>24</x:v>
      </x:c>
      <x:c r="E18" s="14" t="n">
        <x:f>IF(ISNUMBER('Your breakfast list'!H127),'Your breakfast list'!H127,"")</x:f>
        <x:v>16</x:v>
      </x:c>
      <x:c r="F18" s="12" t="str">
        <x:f>'Your breakfast list'!C127</x:f>
        <x:v>CHOCO BANANA OATS</x:v>
      </x:c>
      <x:c r="G18" s="10" t="str">
        <x:f>'Your breakfast list'!B127</x:f>
        <x:v>000835</x:v>
      </x:c>
      <x:c r="H18" s="2" t="str">
        <x:v>663a3b</x:v>
      </x:c>
      <x:c r="I18" s="12" t="str"/>
      <x:c r="J18" s="12" t="str">
        <x:v>Name matches your file. Verify the Supy recipe and portion before reuse.</x:v>
      </x:c>
      <x:c r="K18" s="2" t="str">
        <x:v>67fbb9852c8101ec256c8979</x:v>
      </x:c>
      <x:c r="L18" s="11" t="n">
        <x:v>55</x:v>
      </x:c>
      <x:c r="M18" s="2" t="str">
        <x:v>Piece</x:v>
      </x:c>
    </x:row>
    <x:row r="19" ht="56" customHeight="1">
      <x:c r="A19" s="12" t="str">
        <x:v>Choco Strawberry Oats</x:v>
      </x:c>
      <x:c r="B19" s="12" t="str">
        <x:v>Exact name</x:v>
      </x:c>
      <x:c r="C19" s="9" t="n">
        <x:f>IF(ISNUMBER('Your breakfast list'!F140),'Your breakfast list'!F140,"")</x:f>
        <x:v>46</x:v>
      </x:c>
      <x:c r="D19" s="9" t="n">
        <x:f>IF(ISNUMBER('Your breakfast list'!G140),'Your breakfast list'!G140,"")</x:f>
        <x:v>25</x:v>
      </x:c>
      <x:c r="E19" s="14" t="n">
        <x:f>IF(ISNUMBER('Your breakfast list'!H140),'Your breakfast list'!H140,"")</x:f>
        <x:v>16</x:v>
      </x:c>
      <x:c r="F19" s="12" t="str">
        <x:f>'Your breakfast list'!C140</x:f>
        <x:v>CHOCO STRAWBERRY OATS</x:v>
      </x:c>
      <x:c r="G19" s="10" t="str">
        <x:f>'Your breakfast list'!B140</x:f>
        <x:v>000868</x:v>
      </x:c>
      <x:c r="H19" s="2" t="str">
        <x:v>9d1332</x:v>
      </x:c>
      <x:c r="I19" s="12" t="str"/>
      <x:c r="J19" s="12" t="str">
        <x:v>Name matches your file. Verify the Supy recipe and portion before reuse.</x:v>
      </x:c>
      <x:c r="K19" s="2" t="str">
        <x:v>66717b082de1846ccdede210</x:v>
      </x:c>
      <x:c r="L19" s="11" t="n">
        <x:v>55</x:v>
      </x:c>
      <x:c r="M19" s="2" t="str">
        <x:v>Piece</x:v>
      </x:c>
    </x:row>
    <x:row r="20" ht="56" customHeight="1">
      <x:c r="A20" s="12" t="str">
        <x:v>Chocolate Pistachio Oatmeal</x:v>
      </x:c>
      <x:c r="B20" s="12" t="str">
        <x:v>Exact name</x:v>
      </x:c>
      <x:c r="C20" s="9" t="n">
        <x:f>IF(ISNUMBER('Your breakfast list'!F131),'Your breakfast list'!F131,"")</x:f>
        <x:v>45</x:v>
      </x:c>
      <x:c r="D20" s="9" t="n">
        <x:f>IF(ISNUMBER('Your breakfast list'!G131),'Your breakfast list'!G131,"")</x:f>
        <x:v>25</x:v>
      </x:c>
      <x:c r="E20" s="14" t="n">
        <x:f>IF(ISNUMBER('Your breakfast list'!H131),'Your breakfast list'!H131,"")</x:f>
        <x:v>17</x:v>
      </x:c>
      <x:c r="F20" s="12" t="str">
        <x:f>'Your breakfast list'!C131</x:f>
        <x:v>CHOCOLATE PISTACHIO OATMEAL</x:v>
      </x:c>
      <x:c r="G20" s="10" t="str">
        <x:f>'Your breakfast list'!B131</x:f>
        <x:v>000855</x:v>
      </x:c>
      <x:c r="H20" s="2" t="str">
        <x:v>2a5b96</x:v>
      </x:c>
      <x:c r="I20" s="12" t="str"/>
      <x:c r="J20" s="12" t="str">
        <x:v>Name matches your file. Verify the Supy recipe and portion before reuse.</x:v>
      </x:c>
      <x:c r="K20" s="2" t="str">
        <x:v>68cf9f6b43c4be5eb767fb10</x:v>
      </x:c>
      <x:c r="L20" s="11" t="n">
        <x:v>6</x:v>
      </x:c>
      <x:c r="M20" s="2" t="str">
        <x:v>Piece</x:v>
      </x:c>
    </x:row>
    <x:row r="21" ht="56" customHeight="1">
      <x:c r="A21" s="12" t="str">
        <x:v>Cinnamon Apricot Oats</x:v>
      </x:c>
      <x:c r="B21" s="12" t="str">
        <x:v>Exact name</x:v>
      </x:c>
      <x:c r="C21" s="9" t="n">
        <x:f>IF(ISNUMBER('Your breakfast list'!F50),'Your breakfast list'!F50,"")</x:f>
        <x:v>42</x:v>
      </x:c>
      <x:c r="D21" s="9" t="n">
        <x:f>IF(ISNUMBER('Your breakfast list'!G50),'Your breakfast list'!G50,"")</x:f>
        <x:v>33</x:v>
      </x:c>
      <x:c r="E21" s="14" t="n">
        <x:f>IF(ISNUMBER('Your breakfast list'!H50),'Your breakfast list'!H50,"")</x:f>
        <x:v>18</x:v>
      </x:c>
      <x:c r="F21" s="12" t="str">
        <x:f>'Your breakfast list'!C50</x:f>
        <x:v>CINNAMON APRICOT OATS</x:v>
      </x:c>
      <x:c r="G21" s="10" t="str">
        <x:f>'Your breakfast list'!B50</x:f>
        <x:v>000354</x:v>
      </x:c>
      <x:c r="H21" s="2" t="str">
        <x:v>cd9257</x:v>
      </x:c>
      <x:c r="I21" s="12" t="str"/>
      <x:c r="J21" s="12" t="str">
        <x:v>Name matches your file. Verify the Supy recipe and portion before reuse.</x:v>
      </x:c>
      <x:c r="K21" s="2" t="str">
        <x:v>663cbb64dfa45d33ea9eb748</x:v>
      </x:c>
      <x:c r="L21" s="11" t="n">
        <x:v>40</x:v>
      </x:c>
      <x:c r="M21" s="2" t="str">
        <x:v>Piece</x:v>
      </x:c>
    </x:row>
    <x:row r="22" ht="56" customHeight="1">
      <x:c r="A22" s="12" t="str">
        <x:v>Egg Cake</x:v>
      </x:c>
      <x:c r="B22" s="12" t="str">
        <x:v>Name variant</x:v>
      </x:c>
      <x:c r="C22" s="9" t="n">
        <x:f>IF(ISNUMBER('Your breakfast list'!F35),'Your breakfast list'!F35,"")</x:f>
        <x:v>36</x:v>
      </x:c>
      <x:c r="D22" s="9" t="n">
        <x:f>IF(ISNUMBER('Your breakfast list'!G35),'Your breakfast list'!G35,"")</x:f>
        <x:v>26</x:v>
      </x:c>
      <x:c r="E22" s="14" t="n">
        <x:f>IF(ISNUMBER('Your breakfast list'!H35),'Your breakfast list'!H35,"")</x:f>
        <x:v>13</x:v>
      </x:c>
      <x:c r="F22" s="12" t="str">
        <x:f>'Your breakfast list'!C35</x:f>
        <x:v>EGG CAKES</x:v>
      </x:c>
      <x:c r="G22" s="10" t="str">
        <x:f>'Your breakfast list'!B35</x:f>
        <x:v>000235</x:v>
      </x:c>
      <x:c r="H22" s="2" t="str">
        <x:v>892526</x:v>
      </x:c>
      <x:c r="I22" s="12" t="str"/>
      <x:c r="J22" s="12" t="str">
        <x:v>Punctuation or singular/plural variant. Confirm recipe and serving before importing macros.</x:v>
      </x:c>
      <x:c r="K22" s="2" t="str">
        <x:v>664df12dcfa68202468159f7</x:v>
      </x:c>
      <x:c r="L22" s="11" t="n">
        <x:v>12</x:v>
      </x:c>
      <x:c r="M22" s="2" t="str">
        <x:v>Piece</x:v>
      </x:c>
    </x:row>
    <x:row r="23" ht="56" customHeight="1">
      <x:c r="A23" s="12" t="str">
        <x:v>Egg Fritata Muffin</x:v>
      </x:c>
      <x:c r="B23" s="12" t="str">
        <x:v>Exact name</x:v>
      </x:c>
      <x:c r="C23" s="9" t="n">
        <x:f>IF(ISNUMBER('Your breakfast list'!F36),'Your breakfast list'!F36,"")</x:f>
        <x:v>35</x:v>
      </x:c>
      <x:c r="D23" s="9" t="n">
        <x:f>IF(ISNUMBER('Your breakfast list'!G36),'Your breakfast list'!G36,"")</x:f>
        <x:v>28</x:v>
      </x:c>
      <x:c r="E23" s="14" t="n">
        <x:f>IF(ISNUMBER('Your breakfast list'!H36),'Your breakfast list'!H36,"")</x:f>
        <x:v>15</x:v>
      </x:c>
      <x:c r="F23" s="12" t="str">
        <x:f>'Your breakfast list'!C36</x:f>
        <x:v>EGG FRITATA MUFFIN</x:v>
      </x:c>
      <x:c r="G23" s="10" t="str">
        <x:f>'Your breakfast list'!B36</x:f>
        <x:v>000236</x:v>
      </x:c>
      <x:c r="H23" s="2" t="str">
        <x:v>50b69a</x:v>
      </x:c>
      <x:c r="I23" s="12" t="str"/>
      <x:c r="J23" s="12" t="str">
        <x:v>Name matches your file. Verify the Supy recipe and portion before reuse.</x:v>
      </x:c>
      <x:c r="K23" s="2" t="str">
        <x:v>6648a72e22863029b271aac8</x:v>
      </x:c>
      <x:c r="L23" s="11" t="n">
        <x:v>1</x:v>
      </x:c>
      <x:c r="M23" s="2" t="str">
        <x:v>Piece</x:v>
      </x:c>
    </x:row>
    <x:row r="24" ht="56" customHeight="1">
      <x:c r="A24" s="12" t="str">
        <x:v>Eggs on Capsicum</x:v>
      </x:c>
      <x:c r="B24" s="12" t="str">
        <x:v>Name variant</x:v>
      </x:c>
      <x:c r="C24" s="9" t="n">
        <x:f>IF(ISNUMBER('Your breakfast list'!F57),'Your breakfast list'!F57,"")</x:f>
        <x:v>31</x:v>
      </x:c>
      <x:c r="D24" s="9" t="n">
        <x:f>IF(ISNUMBER('Your breakfast list'!G57),'Your breakfast list'!G57,"")</x:f>
        <x:v>24</x:v>
      </x:c>
      <x:c r="E24" s="14" t="n">
        <x:f>IF(ISNUMBER('Your breakfast list'!H57),'Your breakfast list'!H57,"")</x:f>
        <x:v>18</x:v>
      </x:c>
      <x:c r="F24" s="12" t="str">
        <x:f>'Your breakfast list'!C57</x:f>
        <x:v>EGG ON CAPSICUM</x:v>
      </x:c>
      <x:c r="G24" s="10" t="str">
        <x:f>'Your breakfast list'!B57</x:f>
        <x:v>000399</x:v>
      </x:c>
      <x:c r="H24" s="2" t="str">
        <x:v>4140e3</x:v>
      </x:c>
      <x:c r="I24" s="12" t="str"/>
      <x:c r="J24" s="12" t="str">
        <x:v>Punctuation or singular/plural variant. Confirm recipe and serving before importing macros.</x:v>
      </x:c>
      <x:c r="K24" s="2" t="str">
        <x:v>6648970122863029b271973d</x:v>
      </x:c>
      <x:c r="L24" s="11" t="n">
        <x:v>1</x:v>
      </x:c>
      <x:c r="M24" s="2" t="str">
        <x:v>Piece</x:v>
      </x:c>
    </x:row>
    <x:row r="25" ht="56" customHeight="1">
      <x:c r="A25" s="12" t="str">
        <x:v>Honey Corn Bread Muffins</x:v>
      </x:c>
      <x:c r="B25" s="12" t="str">
        <x:v>Exact name</x:v>
      </x:c>
      <x:c r="C25" s="9" t="n">
        <x:f>IF(ISNUMBER('Your breakfast list'!F119),'Your breakfast list'!F119,"")</x:f>
        <x:v>35</x:v>
      </x:c>
      <x:c r="D25" s="9" t="n">
        <x:f>IF(ISNUMBER('Your breakfast list'!G119),'Your breakfast list'!G119,"")</x:f>
        <x:v>22</x:v>
      </x:c>
      <x:c r="E25" s="14" t="n">
        <x:f>IF(ISNUMBER('Your breakfast list'!H119),'Your breakfast list'!H119,"")</x:f>
        <x:v>18</x:v>
      </x:c>
      <x:c r="F25" s="12" t="str">
        <x:f>'Your breakfast list'!C119</x:f>
        <x:v>HONEY CORN BREAD MUFFINS</x:v>
      </x:c>
      <x:c r="G25" s="10" t="str">
        <x:f>'Your breakfast list'!B119</x:f>
        <x:v>000827</x:v>
      </x:c>
      <x:c r="H25" s="2" t="str">
        <x:v>9e5f7c</x:v>
      </x:c>
      <x:c r="I25" s="12" t="str"/>
      <x:c r="J25" s="12" t="str">
        <x:v>Name matches your file. Verify the Supy recipe and portion before reuse.</x:v>
      </x:c>
      <x:c r="K25" s="2" t="str">
        <x:v>663cc36cf56dc2f9188edcf1</x:v>
      </x:c>
      <x:c r="L25" s="11" t="n">
        <x:v>69</x:v>
      </x:c>
      <x:c r="M25" s="2" t="str">
        <x:v>Piece</x:v>
      </x:c>
    </x:row>
    <x:row r="26" ht="56" customHeight="1">
      <x:c r="A26" s="12" t="str">
        <x:v>Korean Egg Casserole</x:v>
      </x:c>
      <x:c r="B26" s="12" t="str">
        <x:v>Exact name</x:v>
      </x:c>
      <x:c r="C26" s="9" t="n">
        <x:f>IF(ISNUMBER('Your breakfast list'!F115),'Your breakfast list'!F115,"")</x:f>
        <x:v>42</x:v>
      </x:c>
      <x:c r="D26" s="9" t="n">
        <x:f>IF(ISNUMBER('Your breakfast list'!G115),'Your breakfast list'!G115,"")</x:f>
        <x:v>25</x:v>
      </x:c>
      <x:c r="E26" s="14" t="n">
        <x:f>IF(ISNUMBER('Your breakfast list'!H115),'Your breakfast list'!H115,"")</x:f>
        <x:v>15</x:v>
      </x:c>
      <x:c r="F26" s="12" t="str">
        <x:f>'Your breakfast list'!C115</x:f>
        <x:v>KOREAN EGG CASSEROLE</x:v>
      </x:c>
      <x:c r="G26" s="10" t="str">
        <x:f>'Your breakfast list'!B115</x:f>
        <x:v>000823</x:v>
      </x:c>
      <x:c r="H26" s="2" t="str">
        <x:v>358ff0</x:v>
      </x:c>
      <x:c r="I26" s="12" t="str"/>
      <x:c r="J26" s="12" t="str">
        <x:v>Name matches your file. Verify the Supy recipe and portion before reuse.</x:v>
      </x:c>
      <x:c r="K26" s="2" t="str">
        <x:v>6648588dc492b21a345f40f0</x:v>
      </x:c>
      <x:c r="L26" s="11" t="n">
        <x:v>12</x:v>
      </x:c>
      <x:c r="M26" s="2" t="str">
        <x:v>Piece</x:v>
      </x:c>
    </x:row>
    <x:row r="27" ht="56" customHeight="1">
      <x:c r="A27" s="12" t="str">
        <x:v>Lemon Pie Overnight Oats</x:v>
      </x:c>
      <x:c r="B27" s="12" t="str">
        <x:v>Exact name</x:v>
      </x:c>
      <x:c r="C27" s="9" t="n">
        <x:f>IF(ISNUMBER('Your breakfast list'!F135),'Your breakfast list'!F135,"")</x:f>
        <x:v>40</x:v>
      </x:c>
      <x:c r="D27" s="9" t="n">
        <x:f>IF(ISNUMBER('Your breakfast list'!G135),'Your breakfast list'!G135,"")</x:f>
        <x:v>25</x:v>
      </x:c>
      <x:c r="E27" s="14" t="n">
        <x:f>IF(ISNUMBER('Your breakfast list'!H135),'Your breakfast list'!H135,"")</x:f>
        <x:v>15</x:v>
      </x:c>
      <x:c r="F27" s="12" t="str">
        <x:f>'Your breakfast list'!C135</x:f>
        <x:v>LEMON PIE OVERNIGHT OATS</x:v>
      </x:c>
      <x:c r="G27" s="10" t="str">
        <x:f>'Your breakfast list'!B135</x:f>
        <x:v>000860</x:v>
      </x:c>
      <x:c r="H27" s="2" t="str">
        <x:v>cf9a0e</x:v>
      </x:c>
      <x:c r="I27" s="12" t="str"/>
      <x:c r="J27" s="12" t="str">
        <x:v>Name matches your file. Verify the Supy recipe and portion before reuse.</x:v>
      </x:c>
      <x:c r="K27" s="2" t="str">
        <x:v>6a30e65c7403261e63ca3df6</x:v>
      </x:c>
      <x:c r="L27" s="11" t="n">
        <x:v>1</x:v>
      </x:c>
      <x:c r="M27" s="2" t="str">
        <x:v>Piece</x:v>
      </x:c>
    </x:row>
    <x:row r="28" ht="56" customHeight="1">
      <x:c r="A28" s="12" t="str">
        <x:v>Miso Caramel Oatmeal</x:v>
      </x:c>
      <x:c r="B28" s="12" t="str">
        <x:v>Exact name</x:v>
      </x:c>
      <x:c r="C28" s="9" t="n">
        <x:f>IF(ISNUMBER('Your breakfast list'!F141),'Your breakfast list'!F141,"")</x:f>
        <x:v>41</x:v>
      </x:c>
      <x:c r="D28" s="9" t="n">
        <x:f>IF(ISNUMBER('Your breakfast list'!G141),'Your breakfast list'!G141,"")</x:f>
        <x:v>29</x:v>
      </x:c>
      <x:c r="E28" s="14" t="n">
        <x:f>IF(ISNUMBER('Your breakfast list'!H141),'Your breakfast list'!H141,"")</x:f>
        <x:v>14</x:v>
      </x:c>
      <x:c r="F28" s="12" t="str">
        <x:f>'Your breakfast list'!C141</x:f>
        <x:v>MISO CARAMEL OATMEAL</x:v>
      </x:c>
      <x:c r="G28" s="10" t="str">
        <x:f>'Your breakfast list'!B141</x:f>
        <x:v>000870</x:v>
      </x:c>
      <x:c r="H28" s="2" t="str">
        <x:v>9864ea</x:v>
      </x:c>
      <x:c r="I28" s="12" t="str"/>
      <x:c r="J28" s="12" t="str">
        <x:v>Name matches your file. Verify the Supy recipe and portion before reuse.</x:v>
      </x:c>
      <x:c r="K28" s="2" t="str">
        <x:v>68f253b6cd23027ccbc7cf04</x:v>
      </x:c>
      <x:c r="L28" s="11" t="n">
        <x:v>5</x:v>
      </x:c>
      <x:c r="M28" s="2" t="str">
        <x:v>Piece</x:v>
      </x:c>
    </x:row>
    <x:row r="29" ht="56" customHeight="1">
      <x:c r="A29" s="12" t="str">
        <x:v>Mix Berry Oats</x:v>
      </x:c>
      <x:c r="B29" s="12" t="str">
        <x:v>Exact name</x:v>
      </x:c>
      <x:c r="C29" s="9" t="n">
        <x:f>IF(ISNUMBER('Your breakfast list'!F81),'Your breakfast list'!F81,"")</x:f>
        <x:v>42</x:v>
      </x:c>
      <x:c r="D29" s="9" t="n">
        <x:f>IF(ISNUMBER('Your breakfast list'!G81),'Your breakfast list'!G81,"")</x:f>
        <x:v>34</x:v>
      </x:c>
      <x:c r="E29" s="14" t="n">
        <x:f>IF(ISNUMBER('Your breakfast list'!H81),'Your breakfast list'!H81,"")</x:f>
        <x:v>18</x:v>
      </x:c>
      <x:c r="F29" s="12" t="str">
        <x:f>'Your breakfast list'!C81</x:f>
        <x:v>MIX BERRY OATS</x:v>
      </x:c>
      <x:c r="G29" s="10" t="str">
        <x:f>'Your breakfast list'!B81</x:f>
        <x:v>000584</x:v>
      </x:c>
      <x:c r="H29" s="2" t="str">
        <x:v>cddcfc</x:v>
      </x:c>
      <x:c r="I29" s="12" t="str"/>
      <x:c r="J29" s="12" t="str">
        <x:v>Name matches your file. Verify the Supy recipe and portion before reuse.</x:v>
      </x:c>
      <x:c r="K29" s="2" t="str">
        <x:v>6898a7e5cbbfff0b38896e40</x:v>
      </x:c>
      <x:c r="L29" s="11" t="n">
        <x:v>4.5</x:v>
      </x:c>
      <x:c r="M29" s="2" t="str">
        <x:v>Piece</x:v>
      </x:c>
    </x:row>
    <x:row r="30" ht="56" customHeight="1">
      <x:c r="A30" s="12" t="str">
        <x:v>Mix Berry Pancake</x:v>
      </x:c>
      <x:c r="B30" s="12" t="str">
        <x:v>Exact name</x:v>
      </x:c>
      <x:c r="C30" s="9" t="n">
        <x:f>IF(ISNUMBER('Your breakfast list'!F111),'Your breakfast list'!F111,"")</x:f>
        <x:v>40</x:v>
      </x:c>
      <x:c r="D30" s="9" t="n">
        <x:f>IF(ISNUMBER('Your breakfast list'!G111),'Your breakfast list'!G111,"")</x:f>
        <x:v>24</x:v>
      </x:c>
      <x:c r="E30" s="14" t="n">
        <x:f>IF(ISNUMBER('Your breakfast list'!H111),'Your breakfast list'!H111,"")</x:f>
        <x:v>16</x:v>
      </x:c>
      <x:c r="F30" s="12" t="str">
        <x:f>'Your breakfast list'!C111</x:f>
        <x:v>MIX BERRY PANCAKE</x:v>
      </x:c>
      <x:c r="G30" s="10" t="str">
        <x:f>'Your breakfast list'!B111</x:f>
        <x:v>000819</x:v>
      </x:c>
      <x:c r="H30" s="2" t="str">
        <x:v>11bbee</x:v>
      </x:c>
      <x:c r="I30" s="12" t="str"/>
      <x:c r="J30" s="12" t="str">
        <x:v>Name matches your file. Verify the Supy recipe and portion before reuse.</x:v>
      </x:c>
      <x:c r="K30" s="2" t="str">
        <x:v>663b8780e7022abbba4d6383</x:v>
      </x:c>
      <x:c r="L30" s="11" t="n">
        <x:v>39</x:v>
      </x:c>
      <x:c r="M30" s="2" t="str">
        <x:v>Piece</x:v>
      </x:c>
    </x:row>
    <x:row r="31" ht="56" customHeight="1">
      <x:c r="A31" s="12" t="str">
        <x:v>Oats Chocolate Chips Pancake</x:v>
      </x:c>
      <x:c r="B31" s="12" t="str">
        <x:v>Exact name</x:v>
      </x:c>
      <x:c r="C31" s="9" t="n">
        <x:f>IF(ISNUMBER('Your breakfast list'!F109),'Your breakfast list'!F109,"")</x:f>
        <x:v>45</x:v>
      </x:c>
      <x:c r="D31" s="9" t="n">
        <x:f>IF(ISNUMBER('Your breakfast list'!G109),'Your breakfast list'!G109,"")</x:f>
        <x:v>24</x:v>
      </x:c>
      <x:c r="E31" s="14" t="n">
        <x:f>IF(ISNUMBER('Your breakfast list'!H109),'Your breakfast list'!H109,"")</x:f>
        <x:v>16</x:v>
      </x:c>
      <x:c r="F31" s="12" t="str">
        <x:f>'Your breakfast list'!C109</x:f>
        <x:v>OATS CHOCOLATE CHIPS PANCAKE</x:v>
      </x:c>
      <x:c r="G31" s="10" t="str">
        <x:f>'Your breakfast list'!B109</x:f>
        <x:v>000817</x:v>
      </x:c>
      <x:c r="H31" s="2" t="str">
        <x:v>27a568</x:v>
      </x:c>
      <x:c r="I31" s="12" t="str"/>
      <x:c r="J31" s="12" t="str">
        <x:v>Name matches your file. Verify the Supy recipe and portion before reuse.</x:v>
      </x:c>
      <x:c r="K31" s="2" t="str">
        <x:v>6676bd1b1330f25df7221d13</x:v>
      </x:c>
      <x:c r="L31" s="11" t="n">
        <x:v>61</x:v>
      </x:c>
      <x:c r="M31" s="2" t="str">
        <x:v>Piece</x:v>
      </x:c>
    </x:row>
    <x:row r="32" ht="56" customHeight="1">
      <x:c r="A32" s="12" t="str">
        <x:v>Peanut Butter Muffins</x:v>
      </x:c>
      <x:c r="B32" s="12" t="str">
        <x:v>Name variant</x:v>
      </x:c>
      <x:c r="C32" s="9" t="n">
        <x:f>IF(ISNUMBER('Your breakfast list'!F78),'Your breakfast list'!F78,"")</x:f>
        <x:v>31</x:v>
      </x:c>
      <x:c r="D32" s="9" t="n">
        <x:f>IF(ISNUMBER('Your breakfast list'!G78),'Your breakfast list'!G78,"")</x:f>
        <x:v>21</x:v>
      </x:c>
      <x:c r="E32" s="14" t="n">
        <x:f>IF(ISNUMBER('Your breakfast list'!H78),'Your breakfast list'!H78,"")</x:f>
        <x:v>9</x:v>
      </x:c>
      <x:c r="F32" s="12" t="str">
        <x:f>'Your breakfast list'!C78</x:f>
        <x:v>PEANUT BUTTER MUFFIN</x:v>
      </x:c>
      <x:c r="G32" s="10" t="str">
        <x:f>'Your breakfast list'!B78</x:f>
        <x:v>000531</x:v>
      </x:c>
      <x:c r="H32" s="2" t="str">
        <x:v>19ac19</x:v>
      </x:c>
      <x:c r="I32" s="12" t="str"/>
      <x:c r="J32" s="12" t="str">
        <x:v>Punctuation or singular/plural variant. Confirm recipe and serving before importing macros.</x:v>
      </x:c>
      <x:c r="K32" s="2" t="str">
        <x:v>67fbbaff3f9670abbc226fb9</x:v>
      </x:c>
      <x:c r="L32" s="11" t="n">
        <x:v>24</x:v>
      </x:c>
      <x:c r="M32" s="2" t="str">
        <x:v>Piece</x:v>
      </x:c>
    </x:row>
    <x:row r="33" ht="56" customHeight="1">
      <x:c r="A33" s="12" t="str">
        <x:v>Peanut Butter Oats</x:v>
      </x:c>
      <x:c r="B33" s="12" t="str">
        <x:v>Exact name</x:v>
      </x:c>
      <x:c r="C33" s="9" t="n">
        <x:f>IF(ISNUMBER('Your breakfast list'!F139),'Your breakfast list'!F139,"")</x:f>
        <x:v>42</x:v>
      </x:c>
      <x:c r="D33" s="9" t="n">
        <x:f>IF(ISNUMBER('Your breakfast list'!G139),'Your breakfast list'!G139,"")</x:f>
        <x:v>35</x:v>
      </x:c>
      <x:c r="E33" s="14" t="n">
        <x:f>IF(ISNUMBER('Your breakfast list'!H139),'Your breakfast list'!H139,"")</x:f>
        <x:v>18</x:v>
      </x:c>
      <x:c r="F33" s="12" t="str">
        <x:f>'Your breakfast list'!C139</x:f>
        <x:v>PEANUT BUTTER OATS</x:v>
      </x:c>
      <x:c r="G33" s="10" t="str">
        <x:f>'Your breakfast list'!B139</x:f>
        <x:v>000867</x:v>
      </x:c>
      <x:c r="H33" s="2" t="str">
        <x:v>171767</x:v>
      </x:c>
      <x:c r="I33" s="12" t="str"/>
      <x:c r="J33" s="12" t="str">
        <x:v>Name matches your file. Verify the Supy recipe and portion before reuse.</x:v>
      </x:c>
      <x:c r="K33" s="2" t="str">
        <x:v>6898a6c3cbbfff0b38896ab6</x:v>
      </x:c>
      <x:c r="L33" s="11" t="n">
        <x:v>8.6</x:v>
      </x:c>
      <x:c r="M33" s="2" t="str">
        <x:v>Piece</x:v>
      </x:c>
    </x:row>
    <x:row r="34" ht="56" customHeight="1">
      <x:c r="A34" s="12" t="str">
        <x:v>Peanut Butter Pancake</x:v>
      </x:c>
      <x:c r="B34" s="12" t="str">
        <x:v>Exact name</x:v>
      </x:c>
      <x:c r="C34" s="9" t="n">
        <x:f>IF(ISNUMBER('Your breakfast list'!F88),'Your breakfast list'!F88,"")</x:f>
        <x:v>32</x:v>
      </x:c>
      <x:c r="D34" s="9" t="n">
        <x:f>IF(ISNUMBER('Your breakfast list'!G88),'Your breakfast list'!G88,"")</x:f>
        <x:v>23</x:v>
      </x:c>
      <x:c r="E34" s="14" t="n">
        <x:f>IF(ISNUMBER('Your breakfast list'!H88),'Your breakfast list'!H88,"")</x:f>
        <x:v>18</x:v>
      </x:c>
      <x:c r="F34" s="12" t="str">
        <x:f>'Your breakfast list'!C88</x:f>
        <x:v>PEANUT BUTTER PANCAKE</x:v>
      </x:c>
      <x:c r="G34" s="10" t="str">
        <x:f>'Your breakfast list'!B88</x:f>
        <x:v>000631</x:v>
      </x:c>
      <x:c r="H34" s="2" t="str">
        <x:v>db2afd</x:v>
      </x:c>
      <x:c r="I34" s="12" t="str"/>
      <x:c r="J34" s="12" t="str">
        <x:v>Name matches your file. Verify the Supy recipe and portion before reuse.</x:v>
      </x:c>
      <x:c r="K34" s="2" t="str">
        <x:v>664345640434e9340b2abc70</x:v>
      </x:c>
      <x:c r="L34" s="11" t="n">
        <x:v>54</x:v>
      </x:c>
      <x:c r="M34" s="2" t="str">
        <x:v>Piece</x:v>
      </x:c>
    </x:row>
    <x:row r="35" ht="56" customHeight="1">
      <x:c r="A35" s="12" t="str">
        <x:v>Persian Egg</x:v>
      </x:c>
      <x:c r="B35" s="12" t="str">
        <x:v>Exact name</x:v>
      </x:c>
      <x:c r="C35" s="9" t="n">
        <x:f>IF(ISNUMBER('Your breakfast list'!F97),'Your breakfast list'!F97,"")</x:f>
        <x:v>35</x:v>
      </x:c>
      <x:c r="D35" s="9" t="n">
        <x:f>IF(ISNUMBER('Your breakfast list'!G97),'Your breakfast list'!G97,"")</x:f>
        <x:v>26</x:v>
      </x:c>
      <x:c r="E35" s="14" t="n">
        <x:f>IF(ISNUMBER('Your breakfast list'!H97),'Your breakfast list'!H97,"")</x:f>
        <x:v>18</x:v>
      </x:c>
      <x:c r="F35" s="12" t="str">
        <x:f>'Your breakfast list'!C97</x:f>
        <x:v>PERSIAN EGG</x:v>
      </x:c>
      <x:c r="G35" s="10" t="str">
        <x:f>'Your breakfast list'!B97</x:f>
        <x:v>000726</x:v>
      </x:c>
      <x:c r="H35" s="2" t="str">
        <x:v>0a4eb9</x:v>
      </x:c>
      <x:c r="I35" s="12" t="str"/>
      <x:c r="J35" s="12" t="str">
        <x:v>Name matches your file. Verify the Supy recipe and portion before reuse.</x:v>
      </x:c>
      <x:c r="K35" s="2" t="str">
        <x:v>664dff9d126a7c1fb8f0bb50</x:v>
      </x:c>
      <x:c r="L35" s="11" t="n">
        <x:v>12</x:v>
      </x:c>
      <x:c r="M35" s="2" t="str">
        <x:v>Piece</x:v>
      </x:c>
    </x:row>
    <x:row r="36" ht="56" customHeight="1">
      <x:c r="A36" s="12" t="str">
        <x:v>Potato &amp; Asparagus Omelette</x:v>
      </x:c>
      <x:c r="B36" s="12" t="str">
        <x:v>Exact name</x:v>
      </x:c>
      <x:c r="C36" s="9" t="n">
        <x:f>IF(ISNUMBER('Your breakfast list'!F138),'Your breakfast list'!F138,"")</x:f>
        <x:v>35</x:v>
      </x:c>
      <x:c r="D36" s="9" t="n">
        <x:f>IF(ISNUMBER('Your breakfast list'!G138),'Your breakfast list'!G138,"")</x:f>
        <x:v>22</x:v>
      </x:c>
      <x:c r="E36" s="14" t="n">
        <x:f>IF(ISNUMBER('Your breakfast list'!H138),'Your breakfast list'!H138,"")</x:f>
        <x:v>16</x:v>
      </x:c>
      <x:c r="F36" s="12" t="str">
        <x:f>'Your breakfast list'!C138</x:f>
        <x:v>POTATO &amp; ASPARAGUS OMELETTE</x:v>
      </x:c>
      <x:c r="G36" s="10" t="str">
        <x:f>'Your breakfast list'!B138</x:f>
        <x:v>000865</x:v>
      </x:c>
      <x:c r="H36" s="2" t="str">
        <x:v>c67b7f</x:v>
      </x:c>
      <x:c r="I36" s="12" t="str"/>
      <x:c r="J36" s="12" t="str">
        <x:v>Name matches your file. Verify the Supy recipe and portion before reuse.</x:v>
      </x:c>
      <x:c r="K36" s="2" t="str">
        <x:v>6666bee57ba607b4be9b65be</x:v>
      </x:c>
      <x:c r="L36" s="11" t="n">
        <x:v>12</x:v>
      </x:c>
      <x:c r="M36" s="2" t="str">
        <x:v>Piece</x:v>
      </x:c>
    </x:row>
    <x:row r="37" ht="56" customHeight="1">
      <x:c r="A37" s="12" t="str">
        <x:v>Pumpkin Oats</x:v>
      </x:c>
      <x:c r="B37" s="12" t="str">
        <x:v>Exact name</x:v>
      </x:c>
      <x:c r="C37" s="9" t="n">
        <x:f>IF(ISNUMBER('Your breakfast list'!F125),'Your breakfast list'!F125,"")</x:f>
        <x:v>45</x:v>
      </x:c>
      <x:c r="D37" s="9" t="n">
        <x:f>IF(ISNUMBER('Your breakfast list'!G125),'Your breakfast list'!G125,"")</x:f>
        <x:v>25</x:v>
      </x:c>
      <x:c r="E37" s="14" t="n">
        <x:f>IF(ISNUMBER('Your breakfast list'!H125),'Your breakfast list'!H125,"")</x:f>
        <x:v>15</x:v>
      </x:c>
      <x:c r="F37" s="12" t="str">
        <x:f>'Your breakfast list'!C125</x:f>
        <x:v>PUMPKIN OATS</x:v>
      </x:c>
      <x:c r="G37" s="10" t="str">
        <x:f>'Your breakfast list'!B125</x:f>
        <x:v>000833</x:v>
      </x:c>
      <x:c r="H37" s="2" t="str">
        <x:v>5641af</x:v>
      </x:c>
      <x:c r="I37" s="12" t="str"/>
      <x:c r="J37" s="12" t="str">
        <x:v>Name matches your file. Verify the Supy recipe and portion before reuse.</x:v>
      </x:c>
      <x:c r="K37" s="2" t="str">
        <x:v>6898a531f4ca5d05ee46fbc8</x:v>
      </x:c>
      <x:c r="L37" s="11" t="n">
        <x:v>9.3</x:v>
      </x:c>
      <x:c r="M37" s="2" t="str">
        <x:v>Piece</x:v>
      </x:c>
    </x:row>
    <x:row r="38" ht="56" customHeight="1">
      <x:c r="A38" s="12" t="str">
        <x:v>Rafaello Oats</x:v>
      </x:c>
      <x:c r="B38" s="12" t="str">
        <x:v>Exact name</x:v>
      </x:c>
      <x:c r="C38" s="9" t="n">
        <x:f>IF(ISNUMBER('Your breakfast list'!F112),'Your breakfast list'!F112,"")</x:f>
        <x:v>46</x:v>
      </x:c>
      <x:c r="D38" s="9" t="n">
        <x:f>IF(ISNUMBER('Your breakfast list'!G112),'Your breakfast list'!G112,"")</x:f>
        <x:v>25</x:v>
      </x:c>
      <x:c r="E38" s="14" t="n">
        <x:f>IF(ISNUMBER('Your breakfast list'!H112),'Your breakfast list'!H112,"")</x:f>
        <x:v>15</x:v>
      </x:c>
      <x:c r="F38" s="12" t="str">
        <x:f>'Your breakfast list'!C112</x:f>
        <x:v>RAFAELLO OATS</x:v>
      </x:c>
      <x:c r="G38" s="10" t="str">
        <x:f>'Your breakfast list'!B112</x:f>
        <x:v>000820</x:v>
      </x:c>
      <x:c r="H38" s="2" t="str">
        <x:v>5a8f96</x:v>
      </x:c>
      <x:c r="I38" s="12" t="str"/>
      <x:c r="J38" s="12" t="str">
        <x:v>Name matches your file. Verify the Supy recipe and portion before reuse.</x:v>
      </x:c>
      <x:c r="K38" s="2" t="str">
        <x:v>6688d4bd8e21c1a61c5145da</x:v>
      </x:c>
      <x:c r="L38" s="11" t="n">
        <x:v>67</x:v>
      </x:c>
      <x:c r="M38" s="2" t="str">
        <x:v>Piece</x:v>
      </x:c>
    </x:row>
    <x:row r="39" ht="56" customHeight="1">
      <x:c r="A39" s="12" t="str">
        <x:v>Raspberry Filled Muffins</x:v>
      </x:c>
      <x:c r="B39" s="12" t="str">
        <x:v>Exact name</x:v>
      </x:c>
      <x:c r="C39" s="9" t="n">
        <x:f>IF(ISNUMBER('Your breakfast list'!F118),'Your breakfast list'!F118,"")</x:f>
        <x:v>33</x:v>
      </x:c>
      <x:c r="D39" s="9" t="n">
        <x:f>IF(ISNUMBER('Your breakfast list'!G118),'Your breakfast list'!G118,"")</x:f>
        <x:v>23</x:v>
      </x:c>
      <x:c r="E39" s="14" t="n">
        <x:f>IF(ISNUMBER('Your breakfast list'!H118),'Your breakfast list'!H118,"")</x:f>
        <x:v>14</x:v>
      </x:c>
      <x:c r="F39" s="12" t="str">
        <x:f>'Your breakfast list'!C118</x:f>
        <x:v>RASPBERRY FILLED MUFFINS</x:v>
      </x:c>
      <x:c r="G39" s="10" t="str">
        <x:f>'Your breakfast list'!B118</x:f>
        <x:v>000826</x:v>
      </x:c>
      <x:c r="H39" s="2" t="str">
        <x:v>887da7</x:v>
      </x:c>
      <x:c r="I39" s="12" t="str"/>
      <x:c r="J39" s="12" t="str">
        <x:v>Name matches your file. Verify the Supy recipe and portion before reuse.</x:v>
      </x:c>
      <x:c r="K39" s="2" t="str">
        <x:v>6638f30303e56f5c15595ecb</x:v>
      </x:c>
      <x:c r="L39" s="11" t="n">
        <x:v>6.6</x:v>
      </x:c>
      <x:c r="M39" s="2" t="str">
        <x:v>Piece</x:v>
      </x:c>
    </x:row>
    <x:row r="40" ht="56" customHeight="1">
      <x:c r="A40" s="12" t="str">
        <x:v>Raspberry Oats</x:v>
      </x:c>
      <x:c r="B40" s="12" t="str">
        <x:v>Exact name</x:v>
      </x:c>
      <x:c r="C40" s="9" t="n">
        <x:f>IF(ISNUMBER('Your breakfast list'!F72),'Your breakfast list'!F72,"")</x:f>
        <x:v>42</x:v>
      </x:c>
      <x:c r="D40" s="9" t="n">
        <x:f>IF(ISNUMBER('Your breakfast list'!G72),'Your breakfast list'!G72,"")</x:f>
        <x:v>34</x:v>
      </x:c>
      <x:c r="E40" s="14" t="n">
        <x:f>IF(ISNUMBER('Your breakfast list'!H72),'Your breakfast list'!H72,"")</x:f>
        <x:v>18</x:v>
      </x:c>
      <x:c r="F40" s="12" t="str">
        <x:f>'Your breakfast list'!C72</x:f>
        <x:v>RASPBERRY OATS</x:v>
      </x:c>
      <x:c r="G40" s="10" t="str">
        <x:f>'Your breakfast list'!B72</x:f>
        <x:v>000467</x:v>
      </x:c>
      <x:c r="H40" s="2" t="str">
        <x:v>a61936</x:v>
      </x:c>
      <x:c r="I40" s="12" t="str"/>
      <x:c r="J40" s="12" t="str">
        <x:v>Name matches your file. Verify the Supy recipe and portion before reuse.</x:v>
      </x:c>
      <x:c r="K40" s="2" t="str">
        <x:v>6669aa95376d8bdda5484dad</x:v>
      </x:c>
      <x:c r="L40" s="11" t="n">
        <x:v>69</x:v>
      </x:c>
      <x:c r="M40" s="2" t="str">
        <x:v>Piece</x:v>
      </x:c>
    </x:row>
    <x:row r="41" ht="56" customHeight="1">
      <x:c r="A41" s="12" t="str">
        <x:v>Raspberry Waffle</x:v>
      </x:c>
      <x:c r="B41" s="12" t="str">
        <x:v>Exact name</x:v>
      </x:c>
      <x:c r="C41" s="9" t="n">
        <x:f>IF(ISNUMBER('Your breakfast list'!F27),'Your breakfast list'!F27,"")</x:f>
        <x:v>32</x:v>
      </x:c>
      <x:c r="D41" s="9" t="n">
        <x:f>IF(ISNUMBER('Your breakfast list'!G27),'Your breakfast list'!G27,"")</x:f>
        <x:v>24</x:v>
      </x:c>
      <x:c r="E41" s="14" t="n">
        <x:f>IF(ISNUMBER('Your breakfast list'!H27),'Your breakfast list'!H27,"")</x:f>
        <x:v>16</x:v>
      </x:c>
      <x:c r="F41" s="12" t="str">
        <x:f>'Your breakfast list'!C27</x:f>
        <x:v>RASPBERRY WAFFLE</x:v>
      </x:c>
      <x:c r="G41" s="10" t="str">
        <x:f>'Your breakfast list'!B27</x:f>
        <x:v>000095</x:v>
      </x:c>
      <x:c r="H41" s="2" t="str">
        <x:v>a939a5</x:v>
      </x:c>
      <x:c r="I41" s="12" t="str"/>
      <x:c r="J41" s="12" t="str">
        <x:v>Name matches your file. Verify the Supy recipe and portion before reuse.</x:v>
      </x:c>
      <x:c r="K41" s="2" t="str">
        <x:v>66766e681330f25df720c496</x:v>
      </x:c>
      <x:c r="L41" s="11" t="n">
        <x:v>57</x:v>
      </x:c>
      <x:c r="M41" s="2" t="str">
        <x:v>Piece</x:v>
      </x:c>
    </x:row>
    <x:row r="42" ht="56" customHeight="1">
      <x:c r="A42" s="12" t="str">
        <x:v>Richman's Breakfast</x:v>
      </x:c>
      <x:c r="B42" s="12" t="str">
        <x:v>Name variant</x:v>
      </x:c>
      <x:c r="C42" s="9" t="n">
        <x:f>IF(ISNUMBER('Your breakfast list'!F25),'Your breakfast list'!F25,"")</x:f>
        <x:v>32</x:v>
      </x:c>
      <x:c r="D42" s="9" t="n">
        <x:f>IF(ISNUMBER('Your breakfast list'!G25),'Your breakfast list'!G25,"")</x:f>
        <x:v>28</x:v>
      </x:c>
      <x:c r="E42" s="14" t="n">
        <x:f>IF(ISNUMBER('Your breakfast list'!H25),'Your breakfast list'!H25,"")</x:f>
        <x:v>21</x:v>
      </x:c>
      <x:c r="F42" s="12" t="str">
        <x:f>'Your breakfast list'!C25</x:f>
        <x:v>RICHMANS BREAKFAST</x:v>
      </x:c>
      <x:c r="G42" s="10" t="str">
        <x:f>'Your breakfast list'!B25</x:f>
        <x:v>000093</x:v>
      </x:c>
      <x:c r="H42" s="2" t="str">
        <x:v>54e198</x:v>
      </x:c>
      <x:c r="I42" s="12" t="str"/>
      <x:c r="J42" s="12" t="str">
        <x:v>Punctuation or singular/plural variant. Confirm recipe and serving before importing macros.</x:v>
      </x:c>
      <x:c r="K42" s="2" t="str">
        <x:v>68cfa05c5b5cf23832a013e8</x:v>
      </x:c>
      <x:c r="L42" s="11" t="n">
        <x:v>1</x:v>
      </x:c>
      <x:c r="M42" s="2" t="str">
        <x:v>Piece</x:v>
      </x:c>
    </x:row>
    <x:row r="43" ht="56" customHeight="1">
      <x:c r="A43" s="12" t="str">
        <x:v>Savoury French Toast</x:v>
      </x:c>
      <x:c r="B43" s="12" t="str">
        <x:v>Exact name</x:v>
      </x:c>
      <x:c r="C43" s="9" t="n">
        <x:f>IF(ISNUMBER('Your breakfast list'!F124),'Your breakfast list'!F124,"")</x:f>
        <x:v>42</x:v>
      </x:c>
      <x:c r="D43" s="9" t="n">
        <x:f>IF(ISNUMBER('Your breakfast list'!G124),'Your breakfast list'!G124,"")</x:f>
        <x:v>22</x:v>
      </x:c>
      <x:c r="E43" s="14" t="n">
        <x:f>IF(ISNUMBER('Your breakfast list'!H124),'Your breakfast list'!H124,"")</x:f>
        <x:v>18</x:v>
      </x:c>
      <x:c r="F43" s="12" t="str">
        <x:f>'Your breakfast list'!C124</x:f>
        <x:v>SAVOURY FRENCH TOAST</x:v>
      </x:c>
      <x:c r="G43" s="10" t="str">
        <x:f>'Your breakfast list'!B124</x:f>
        <x:v>000832</x:v>
      </x:c>
      <x:c r="H43" s="2" t="str">
        <x:v>add7ff</x:v>
      </x:c>
      <x:c r="I43" s="12" t="str"/>
      <x:c r="J43" s="12" t="str">
        <x:v>Name matches your file. Verify the Supy recipe and portion before reuse.</x:v>
      </x:c>
      <x:c r="K43" s="2" t="str">
        <x:v>663b297012507a1b7db5f7fe</x:v>
      </x:c>
      <x:c r="L43" s="11" t="n">
        <x:v>2</x:v>
      </x:c>
      <x:c r="M43" s="2" t="str">
        <x:v>Piece</x:v>
      </x:c>
    </x:row>
    <x:row r="44" ht="56" customHeight="1">
      <x:c r="A44" s="12" t="str">
        <x:v>Spinach &amp; Sundried Tomato Egg Cake</x:v>
      </x:c>
      <x:c r="B44" s="12" t="str">
        <x:v>Name variant</x:v>
      </x:c>
      <x:c r="C44" s="9" t="n">
        <x:f>IF(ISNUMBER('Your breakfast list'!F126),'Your breakfast list'!F126,"")</x:f>
        <x:v>38</x:v>
      </x:c>
      <x:c r="D44" s="9" t="n">
        <x:f>IF(ISNUMBER('Your breakfast list'!G126),'Your breakfast list'!G126,"")</x:f>
        <x:v>34</x:v>
      </x:c>
      <x:c r="E44" s="14" t="n">
        <x:f>IF(ISNUMBER('Your breakfast list'!H126),'Your breakfast list'!H126,"")</x:f>
        <x:v>18</x:v>
      </x:c>
      <x:c r="F44" s="12" t="str">
        <x:f>'Your breakfast list'!C126</x:f>
        <x:v>SPINACH AND SUNDRIED TOMATO EGG CAKE</x:v>
      </x:c>
      <x:c r="G44" s="10" t="str">
        <x:f>'Your breakfast list'!B126</x:f>
        <x:v>000834</x:v>
      </x:c>
      <x:c r="H44" s="2" t="str">
        <x:v>2aa75a</x:v>
      </x:c>
      <x:c r="I44" s="12" t="str"/>
      <x:c r="J44" s="12" t="str">
        <x:v>Punctuation or singular/plural variant. Confirm recipe and serving before importing macros.</x:v>
      </x:c>
      <x:c r="K44" s="2" t="str">
        <x:v>6671374d9a13ab5ac2cf0c5c</x:v>
      </x:c>
      <x:c r="L44" s="11" t="n">
        <x:v>12</x:v>
      </x:c>
      <x:c r="M44" s="2" t="str">
        <x:v>Piece</x:v>
      </x:c>
    </x:row>
    <x:row r="45" ht="56" customHeight="1">
      <x:c r="A45" s="12" t="str">
        <x:v>Spinach &amp; Sundried Tomato Egg Cups</x:v>
      </x:c>
      <x:c r="B45" s="12" t="str">
        <x:v>Name variant</x:v>
      </x:c>
      <x:c r="C45" s="9" t="n">
        <x:f>IF(ISNUMBER('Your breakfast list'!F70),'Your breakfast list'!F70,"")</x:f>
        <x:v>35</x:v>
      </x:c>
      <x:c r="D45" s="9" t="n">
        <x:f>IF(ISNUMBER('Your breakfast list'!G70),'Your breakfast list'!G70,"")</x:f>
        <x:v>25</x:v>
      </x:c>
      <x:c r="E45" s="14" t="n">
        <x:f>IF(ISNUMBER('Your breakfast list'!H70),'Your breakfast list'!H70,"")</x:f>
        <x:v>18</x:v>
      </x:c>
      <x:c r="F45" s="12" t="str">
        <x:f>'Your breakfast list'!C70</x:f>
        <x:v>SPINACH AND SUNDRIED TOMATO EGG CUPS</x:v>
      </x:c>
      <x:c r="G45" s="10" t="str">
        <x:f>'Your breakfast list'!B70</x:f>
        <x:v>000465</x:v>
      </x:c>
      <x:c r="H45" s="2" t="str">
        <x:v>87d47f</x:v>
      </x:c>
      <x:c r="I45" s="12" t="str"/>
      <x:c r="J45" s="12" t="str">
        <x:v>Punctuation or singular/plural variant. Confirm recipe and serving before importing macros.</x:v>
      </x:c>
      <x:c r="K45" s="2" t="str">
        <x:v>664b277e318675f7a64cce49</x:v>
      </x:c>
      <x:c r="L45" s="11" t="n">
        <x:v>1</x:v>
      </x:c>
      <x:c r="M45" s="2" t="str">
        <x:v>Piece</x:v>
      </x:c>
    </x:row>
    <x:row r="46" ht="56" customHeight="1">
      <x:c r="A46" s="12" t="str">
        <x:v>Spinach Muffins</x:v>
      </x:c>
      <x:c r="B46" s="12" t="str">
        <x:v>Exact name</x:v>
      </x:c>
      <x:c r="C46" s="9" t="n">
        <x:f>IF(ISNUMBER('Your breakfast list'!F59),'Your breakfast list'!F59,"")</x:f>
        <x:v>24</x:v>
      </x:c>
      <x:c r="D46" s="9" t="n">
        <x:f>IF(ISNUMBER('Your breakfast list'!G59),'Your breakfast list'!G59,"")</x:f>
        <x:v>21</x:v>
      </x:c>
      <x:c r="E46" s="14" t="n">
        <x:f>IF(ISNUMBER('Your breakfast list'!H59),'Your breakfast list'!H59,"")</x:f>
        <x:v>12</x:v>
      </x:c>
      <x:c r="F46" s="12" t="str">
        <x:f>'Your breakfast list'!C59</x:f>
        <x:v>SPINACH MUFFINS</x:v>
      </x:c>
      <x:c r="G46" s="10" t="str">
        <x:f>'Your breakfast list'!B59</x:f>
        <x:v>000419</x:v>
      </x:c>
      <x:c r="H46" s="2" t="str">
        <x:v>38769e</x:v>
      </x:c>
      <x:c r="I46" s="12" t="str"/>
      <x:c r="J46" s="12" t="str">
        <x:v>Name matches your file. Verify the Supy recipe and portion before reuse.</x:v>
      </x:c>
      <x:c r="K46" s="2" t="str">
        <x:v>6aa147690626cb099ddb5736</x:v>
      </x:c>
      <x:c r="L46" s="11" t="n">
        <x:v>40</x:v>
      </x:c>
      <x:c r="M46" s="2" t="str">
        <x:v>Piece</x:v>
      </x:c>
    </x:row>
    <x:row r="47" ht="56" customHeight="1">
      <x:c r="A47" s="12" t="str">
        <x:v>Spinach Pancake</x:v>
      </x:c>
      <x:c r="B47" s="12" t="str">
        <x:v>Exact name</x:v>
      </x:c>
      <x:c r="C47" s="9" t="n">
        <x:f>IF(ISNUMBER('Your breakfast list'!F117),'Your breakfast list'!F117,"")</x:f>
        <x:v>32</x:v>
      </x:c>
      <x:c r="D47" s="9" t="n">
        <x:f>IF(ISNUMBER('Your breakfast list'!G117),'Your breakfast list'!G117,"")</x:f>
        <x:v>24</x:v>
      </x:c>
      <x:c r="E47" s="14" t="n">
        <x:f>IF(ISNUMBER('Your breakfast list'!H117),'Your breakfast list'!H117,"")</x:f>
        <x:v>16</x:v>
      </x:c>
      <x:c r="F47" s="12" t="str">
        <x:f>'Your breakfast list'!C117</x:f>
        <x:v>SPINACH PANCAKE</x:v>
      </x:c>
      <x:c r="G47" s="10" t="str">
        <x:f>'Your breakfast list'!B117</x:f>
        <x:v>000825</x:v>
      </x:c>
      <x:c r="H47" s="2" t="str">
        <x:v>e2f617</x:v>
      </x:c>
      <x:c r="I47" s="12" t="str"/>
      <x:c r="J47" s="12" t="str">
        <x:v>Name matches your file. Verify the Supy recipe and portion before reuse.</x:v>
      </x:c>
      <x:c r="K47" s="2" t="str">
        <x:v>66548305c91ef79c3c2b02f5</x:v>
      </x:c>
      <x:c r="L47" s="11" t="n">
        <x:v>40</x:v>
      </x:c>
      <x:c r="M47" s="2" t="str">
        <x:v>Piece</x:v>
      </x:c>
    </x:row>
    <x:row r="48" ht="56" customHeight="1">
      <x:c r="A48" s="12" t="str">
        <x:v>Spinach, Onion &amp; Mushroom Egg Cake</x:v>
      </x:c>
      <x:c r="B48" s="12" t="str">
        <x:v>Name variant</x:v>
      </x:c>
      <x:c r="C48" s="9" t="n">
        <x:f>IF(ISNUMBER('Your breakfast list'!F122),'Your breakfast list'!F122,"")</x:f>
        <x:v>40</x:v>
      </x:c>
      <x:c r="D48" s="9" t="n">
        <x:f>IF(ISNUMBER('Your breakfast list'!G122),'Your breakfast list'!G122,"")</x:f>
        <x:v>25</x:v>
      </x:c>
      <x:c r="E48" s="14" t="n">
        <x:f>IF(ISNUMBER('Your breakfast list'!H122),'Your breakfast list'!H122,"")</x:f>
        <x:v>16</x:v>
      </x:c>
      <x:c r="F48" s="12" t="str">
        <x:f>'Your breakfast list'!C122</x:f>
        <x:v>SPINACH,ONION &amp; MUSHROOM EGG CAKE</x:v>
      </x:c>
      <x:c r="G48" s="10" t="str">
        <x:f>'Your breakfast list'!B122</x:f>
        <x:v>000830</x:v>
      </x:c>
      <x:c r="H48" s="2" t="str">
        <x:v>d47c4f</x:v>
      </x:c>
      <x:c r="I48" s="12" t="str"/>
      <x:c r="J48" s="12" t="str">
        <x:v>Punctuation or singular/plural variant. Confirm recipe and serving before importing macros.</x:v>
      </x:c>
      <x:c r="K48" s="2" t="str">
        <x:v>668ea76e556604038bfd8e36</x:v>
      </x:c>
      <x:c r="L48" s="11" t="n">
        <x:v>12</x:v>
      </x:c>
      <x:c r="M48" s="2" t="str">
        <x:v>Piece</x:v>
      </x:c>
    </x:row>
    <x:row r="49" ht="56" customHeight="1">
      <x:c r="A49" s="12" t="str">
        <x:v>Sweet Corn Pancake</x:v>
      </x:c>
      <x:c r="B49" s="12" t="str">
        <x:v>Exact name</x:v>
      </x:c>
      <x:c r="C49" s="9" t="n">
        <x:f>IF(ISNUMBER('Your breakfast list'!F63),'Your breakfast list'!F63,"")</x:f>
        <x:v>32</x:v>
      </x:c>
      <x:c r="D49" s="9" t="n">
        <x:f>IF(ISNUMBER('Your breakfast list'!G63),'Your breakfast list'!G63,"")</x:f>
        <x:v>24</x:v>
      </x:c>
      <x:c r="E49" s="14" t="n">
        <x:f>IF(ISNUMBER('Your breakfast list'!H63),'Your breakfast list'!H63,"")</x:f>
        <x:v>18</x:v>
      </x:c>
      <x:c r="F49" s="12" t="str">
        <x:f>'Your breakfast list'!C63</x:f>
        <x:v>SWEET CORN PANCAKE</x:v>
      </x:c>
      <x:c r="G49" s="10" t="str">
        <x:f>'Your breakfast list'!B63</x:f>
        <x:v>000449</x:v>
      </x:c>
      <x:c r="H49" s="2" t="str">
        <x:v>6ffac2</x:v>
      </x:c>
      <x:c r="I49" s="12" t="str"/>
      <x:c r="J49" s="12" t="str">
        <x:v>Name matches your file. Verify the Supy recipe and portion before reuse.</x:v>
      </x:c>
      <x:c r="K49" s="2" t="str">
        <x:v>6688d5516722c1ffb5b73b57</x:v>
      </x:c>
      <x:c r="L49" s="11" t="n">
        <x:v>61</x:v>
      </x:c>
      <x:c r="M49" s="2" t="str">
        <x:v>Piece</x:v>
      </x:c>
    </x:row>
    <x:row r="50" ht="56" customHeight="1">
      <x:c r="A50" s="12" t="str">
        <x:v>Apple Cinnamon Oats</x:v>
      </x:c>
      <x:c r="B50" s="12" t="str">
        <x:v>Not matched</x:v>
      </x:c>
      <x:c r="C50" s="9"/>
      <x:c r="D50" s="9"/>
      <x:c r="E50" s="14"/>
      <x:c r="F50" s="12"/>
      <x:c r="G50" s="10"/>
      <x:c r="H50" s="2" t="str">
        <x:v>d2d9c1</x:v>
      </x:c>
      <x:c r="I50" s="12" t="str">
        <x:v>CINNAMON APPLE OATMEAL (000234); CINNAMON APRICOT OATS (000354)</x:v>
      </x:c>
      <x:c r="J50" s="12" t="str">
        <x:v>No confirmed name match in your file. Possible names may be different recipes, components or portion sizes.</x:v>
      </x:c>
      <x:c r="K50" s="2" t="str">
        <x:v>665dadfef81352c19763e8ab</x:v>
      </x:c>
      <x:c r="L50" s="11" t="n">
        <x:v>8.2</x:v>
      </x:c>
      <x:c r="M50" s="2" t="str">
        <x:v>Piece</x:v>
      </x:c>
    </x:row>
    <x:row r="51" ht="56" customHeight="1">
      <x:c r="A51" s="12" t="str">
        <x:v>Apricot Cinnamon Muffins</x:v>
      </x:c>
      <x:c r="B51" s="12" t="str">
        <x:v>Not matched</x:v>
      </x:c>
      <x:c r="C51" s="9"/>
      <x:c r="D51" s="9"/>
      <x:c r="E51" s="14"/>
      <x:c r="F51" s="12"/>
      <x:c r="G51" s="10"/>
      <x:c r="H51" s="2" t="str">
        <x:v>2aa748</x:v>
      </x:c>
      <x:c r="I51" s="12" t="str">
        <x:v>APRICOT MUFFINS (000854); CINNAMON APRICOT OATS (000354)</x:v>
      </x:c>
      <x:c r="J51" s="12" t="str">
        <x:v>No confirmed name match in your file. Possible names may be different recipes, components or portion sizes.</x:v>
      </x:c>
      <x:c r="K51" s="2" t="str">
        <x:v>6a60c173a56be9f8e586f520</x:v>
      </x:c>
      <x:c r="L51" s="11" t="n">
        <x:v>48</x:v>
      </x:c>
      <x:c r="M51" s="2" t="str">
        <x:v>Piece</x:v>
      </x:c>
    </x:row>
    <x:row r="52" ht="56" customHeight="1">
      <x:c r="A52" s="12" t="str">
        <x:v>Apricot Cinnamon Pancake</x:v>
      </x:c>
      <x:c r="B52" s="12" t="str">
        <x:v>Not matched</x:v>
      </x:c>
      <x:c r="C52" s="9"/>
      <x:c r="D52" s="9"/>
      <x:c r="E52" s="14"/>
      <x:c r="F52" s="12"/>
      <x:c r="G52" s="10"/>
      <x:c r="H52" s="2" t="str">
        <x:v>68b69b</x:v>
      </x:c>
      <x:c r="I52" s="12" t="str">
        <x:v>APRICOT PANCAKE (000831); CINNAMON APRICOT OATS (000354)</x:v>
      </x:c>
      <x:c r="J52" s="12" t="str">
        <x:v>No confirmed name match in your file. Possible names may be different recipes, components or portion sizes.</x:v>
      </x:c>
      <x:c r="K52" s="2" t="str">
        <x:v>6a60c1c89aa8134a9b435df5</x:v>
      </x:c>
      <x:c r="L52" s="11" t="n">
        <x:v>48</x:v>
      </x:c>
      <x:c r="M52" s="2" t="str">
        <x:v>Piece</x:v>
      </x:c>
    </x:row>
    <x:row r="53" ht="56" customHeight="1">
      <x:c r="A53" s="12" t="str">
        <x:v>Apricot Oat Pancake</x:v>
      </x:c>
      <x:c r="B53" s="12" t="str">
        <x:v>Not matched</x:v>
      </x:c>
      <x:c r="C53" s="9"/>
      <x:c r="D53" s="9"/>
      <x:c r="E53" s="14"/>
      <x:c r="F53" s="12"/>
      <x:c r="G53" s="10"/>
      <x:c r="H53" s="2" t="str">
        <x:v>8acba1</x:v>
      </x:c>
      <x:c r="I53" s="12" t="str">
        <x:v>APRICOT PANCAKE (000831)</x:v>
      </x:c>
      <x:c r="J53" s="12" t="str">
        <x:v>No confirmed name match in your file. Possible names may be different recipes, components or portion sizes.</x:v>
      </x:c>
      <x:c r="K53" s="2" t="str">
        <x:v>663cd07581c1c6f66696383d</x:v>
      </x:c>
      <x:c r="L53" s="11" t="n">
        <x:v>16</x:v>
      </x:c>
      <x:c r="M53" s="2" t="str">
        <x:v>Piece</x:v>
      </x:c>
    </x:row>
    <x:row r="54" ht="56" customHeight="1">
      <x:c r="A54" s="12" t="str">
        <x:v>Baba Ganoush</x:v>
      </x:c>
      <x:c r="B54" s="12" t="str">
        <x:v>Not matched</x:v>
      </x:c>
      <x:c r="C54" s="9"/>
      <x:c r="D54" s="9"/>
      <x:c r="E54" s="14"/>
      <x:c r="F54" s="12"/>
      <x:c r="G54" s="10"/>
      <x:c r="H54" s="2" t="str">
        <x:v>2a892f</x:v>
      </x:c>
      <x:c r="I54" s="12" t="str"/>
      <x:c r="J54" s="12" t="str">
        <x:v>No confirmed name match in your file. Possible names may be different recipes, components or portion sizes.</x:v>
      </x:c>
      <x:c r="K54" s="2" t="str">
        <x:v>663f1c6f1b093218296c9926</x:v>
      </x:c>
      <x:c r="L54" s="11" t="n">
        <x:v>5.485</x:v>
      </x:c>
      <x:c r="M54" s="2" t="str">
        <x:v>Piece</x:v>
      </x:c>
    </x:row>
    <x:row r="55" ht="56" customHeight="1">
      <x:c r="A55" s="12" t="str">
        <x:v>Banana Oats Muffins</x:v>
      </x:c>
      <x:c r="B55" s="12" t="str">
        <x:v>Not matched</x:v>
      </x:c>
      <x:c r="C55" s="9"/>
      <x:c r="D55" s="9"/>
      <x:c r="E55" s="14"/>
      <x:c r="F55" s="12"/>
      <x:c r="G55" s="10"/>
      <x:c r="H55" s="2" t="str">
        <x:v>041c4a</x:v>
      </x:c>
      <x:c r="I55" s="12" t="str">
        <x:v>CHOCO BANANA OATS (000835); PEANUT BUTTER BANANA MUFFIN (000252)</x:v>
      </x:c>
      <x:c r="J55" s="12" t="str">
        <x:v>No confirmed name match in your file. Possible names may be different recipes, components or portion sizes.</x:v>
      </x:c>
      <x:c r="K55" s="2" t="str">
        <x:v>68e67ae351bd5483663d3e5d</x:v>
      </x:c>
      <x:c r="L55" s="11" t="n">
        <x:v>38</x:v>
      </x:c>
      <x:c r="M55" s="2" t="str">
        <x:v>Piece</x:v>
      </x:c>
    </x:row>
    <x:row r="56" ht="56" customHeight="1">
      <x:c r="A56" s="12" t="str">
        <x:v>Banana Oats Pancake</x:v>
      </x:c>
      <x:c r="B56" s="12" t="str">
        <x:v>Not matched</x:v>
      </x:c>
      <x:c r="C56" s="9"/>
      <x:c r="D56" s="9"/>
      <x:c r="E56" s="14"/>
      <x:c r="F56" s="12"/>
      <x:c r="G56" s="10"/>
      <x:c r="H56" s="2" t="str">
        <x:v>2d8c9e</x:v>
      </x:c>
      <x:c r="I56" s="12" t="str">
        <x:v>BANANA OATS PANCAKE (L) (000761) - LARGE PORTION; BANANA PANCAKE (000464)</x:v>
      </x:c>
      <x:c r="J56" s="12" t="str">
        <x:v>No confirmed name match in your file. Possible names may be different recipes, components or portion sizes.</x:v>
      </x:c>
      <x:c r="K56" s="2" t="str">
        <x:v>665dbba15757bd78ab5da3bd</x:v>
      </x:c>
      <x:c r="L56" s="11" t="n">
        <x:v>56</x:v>
      </x:c>
      <x:c r="M56" s="2" t="str">
        <x:v>Piece</x:v>
      </x:c>
    </x:row>
    <x:row r="57" ht="56" customHeight="1">
      <x:c r="A57" s="12" t="str">
        <x:v>Banana Strawberry- Upside</x:v>
      </x:c>
      <x:c r="B57" s="12" t="str">
        <x:v>Not matched</x:v>
      </x:c>
      <x:c r="C57" s="9"/>
      <x:c r="D57" s="9"/>
      <x:c r="E57" s="14"/>
      <x:c r="F57" s="12"/>
      <x:c r="G57" s="10"/>
      <x:c r="H57" s="2" t="str">
        <x:v>dec742</x:v>
      </x:c>
      <x:c r="I57" s="12" t="str"/>
      <x:c r="J57" s="12" t="str">
        <x:v>No confirmed name match in your file. Possible names may be different recipes, components or portion sizes.</x:v>
      </x:c>
      <x:c r="K57" s="2" t="str">
        <x:v>6672b6bb2de1846ccdefff88</x:v>
      </x:c>
      <x:c r="L57" s="11" t="n">
        <x:v>1</x:v>
      </x:c>
      <x:c r="M57" s="2" t="str">
        <x:v>Piece</x:v>
      </x:c>
    </x:row>
    <x:row r="58" ht="56" customHeight="1">
      <x:c r="A58" s="12" t="str">
        <x:v>Bhindi Egg Fritata</x:v>
      </x:c>
      <x:c r="B58" s="12" t="str">
        <x:v>Not matched</x:v>
      </x:c>
      <x:c r="C58" s="9"/>
      <x:c r="D58" s="9"/>
      <x:c r="E58" s="14"/>
      <x:c r="F58" s="12"/>
      <x:c r="G58" s="10"/>
      <x:c r="H58" s="2" t="str">
        <x:v>ef0c32</x:v>
      </x:c>
      <x:c r="I58" s="12" t="str">
        <x:v>EGG FRITATA MUFFIN (000236)</x:v>
      </x:c>
      <x:c r="J58" s="12" t="str">
        <x:v>No confirmed name match in your file. Possible names may be different recipes, components or portion sizes.</x:v>
      </x:c>
      <x:c r="K58" s="2" t="str">
        <x:v>664e0570126a7c1fb8f0dbd5</x:v>
      </x:c>
      <x:c r="L58" s="11" t="n">
        <x:v>5</x:v>
      </x:c>
      <x:c r="M58" s="2" t="str">
        <x:v>Piece</x:v>
      </x:c>
    </x:row>
    <x:row r="59" ht="56" customHeight="1">
      <x:c r="A59" s="12" t="str">
        <x:v>Blueberry Pancake</x:v>
      </x:c>
      <x:c r="B59" s="12" t="str">
        <x:v>Not matched</x:v>
      </x:c>
      <x:c r="C59" s="9"/>
      <x:c r="D59" s="9"/>
      <x:c r="E59" s="14"/>
      <x:c r="F59" s="12"/>
      <x:c r="G59" s="10"/>
      <x:c r="H59" s="2" t="str">
        <x:v>91c19c</x:v>
      </x:c>
      <x:c r="I59" s="12" t="str">
        <x:v>Pancake (000075)</x:v>
      </x:c>
      <x:c r="J59" s="12" t="str">
        <x:v>No confirmed name match in your file. Possible names may be different recipes, components or portion sizes.</x:v>
      </x:c>
      <x:c r="K59" s="2" t="str">
        <x:v>66699725376d8bdda5480edb</x:v>
      </x:c>
      <x:c r="L59" s="11" t="n">
        <x:v>51</x:v>
      </x:c>
      <x:c r="M59" s="2" t="str">
        <x:v>Piece</x:v>
      </x:c>
    </x:row>
    <x:row r="60" ht="56" customHeight="1">
      <x:c r="A60" s="12" t="str">
        <x:v>Breakfast Buritos</x:v>
      </x:c>
      <x:c r="B60" s="12" t="str">
        <x:v>Not matched</x:v>
      </x:c>
      <x:c r="C60" s="9"/>
      <x:c r="D60" s="9"/>
      <x:c r="E60" s="14"/>
      <x:c r="F60" s="12"/>
      <x:c r="G60" s="10"/>
      <x:c r="H60" s="2" t="str">
        <x:v>41fe6e</x:v>
      </x:c>
      <x:c r="I60" s="12" t="str"/>
      <x:c r="J60" s="12" t="str">
        <x:v>No confirmed name match in your file. Possible names may be different recipes, components or portion sizes.</x:v>
      </x:c>
      <x:c r="K60" s="2" t="str">
        <x:v>66a3776f7283433beb1342e6</x:v>
      </x:c>
      <x:c r="L60" s="11" t="n">
        <x:v>1</x:v>
      </x:c>
      <x:c r="M60" s="2" t="str">
        <x:v>Piece</x:v>
      </x:c>
    </x:row>
    <x:row r="61" ht="56" customHeight="1">
      <x:c r="A61" s="12" t="str">
        <x:v>Breakfast Tacos</x:v>
      </x:c>
      <x:c r="B61" s="12" t="str">
        <x:v>Not matched</x:v>
      </x:c>
      <x:c r="C61" s="9"/>
      <x:c r="D61" s="9"/>
      <x:c r="E61" s="14"/>
      <x:c r="F61" s="12"/>
      <x:c r="G61" s="10"/>
      <x:c r="H61" s="2" t="str">
        <x:v>db5ca2</x:v>
      </x:c>
      <x:c r="I61" s="12" t="str"/>
      <x:c r="J61" s="12" t="str">
        <x:v>No confirmed name match in your file. Possible names may be different recipes, components or portion sizes.</x:v>
      </x:c>
      <x:c r="K61" s="2" t="str">
        <x:v>663f2d78fd92ccc9a03e1289</x:v>
      </x:c>
      <x:c r="L61" s="11" t="n">
        <x:v>1</x:v>
      </x:c>
      <x:c r="M61" s="2" t="str">
        <x:v>Piece</x:v>
      </x:c>
    </x:row>
    <x:row r="62" ht="56" customHeight="1">
      <x:c r="A62" s="12" t="str">
        <x:v>Butternut Squash Hash Mix</x:v>
      </x:c>
      <x:c r="B62" s="12" t="str">
        <x:v>Not matched</x:v>
      </x:c>
      <x:c r="C62" s="9"/>
      <x:c r="D62" s="9"/>
      <x:c r="E62" s="14"/>
      <x:c r="F62" s="12"/>
      <x:c r="G62" s="10"/>
      <x:c r="H62" s="2" t="str">
        <x:v>1bc86c</x:v>
      </x:c>
      <x:c r="I62" s="12" t="str">
        <x:v>BUTTERNUT SQUASH (L) (000763) - LARGE PORTION</x:v>
      </x:c>
      <x:c r="J62" s="12" t="str">
        <x:v>No confirmed name match in your file. Possible names may be different recipes, components or portion sizes.</x:v>
      </x:c>
      <x:c r="K62" s="2" t="str">
        <x:v>666994abee81af00e43e55b9</x:v>
      </x:c>
      <x:c r="L62" s="11" t="n">
        <x:v>4</x:v>
      </x:c>
      <x:c r="M62" s="2" t="str">
        <x:v>Piece</x:v>
      </x:c>
    </x:row>
    <x:row r="63" ht="56" customHeight="1">
      <x:c r="A63" s="12" t="str">
        <x:v>Carrot Cake Pancake</x:v>
      </x:c>
      <x:c r="B63" s="12" t="str">
        <x:v>Not matched</x:v>
      </x:c>
      <x:c r="C63" s="9"/>
      <x:c r="D63" s="9"/>
      <x:c r="E63" s="14"/>
      <x:c r="F63" s="12"/>
      <x:c r="G63" s="10"/>
      <x:c r="H63" s="2" t="str">
        <x:v>bddb5f</x:v>
      </x:c>
      <x:c r="I63" s="12" t="str">
        <x:v>CARROT CAKE MUFFIN (000858); Carrot Cake Oat Pot (000165)</x:v>
      </x:c>
      <x:c r="J63" s="12" t="str">
        <x:v>No confirmed name match in your file. Possible names may be different recipes, components or portion sizes.</x:v>
      </x:c>
      <x:c r="K63" s="2" t="str">
        <x:v>67a5e8b5613ea6f3e973b7fd</x:v>
      </x:c>
      <x:c r="L63" s="11" t="n">
        <x:v>30</x:v>
      </x:c>
      <x:c r="M63" s="2" t="str">
        <x:v>Piece</x:v>
      </x:c>
    </x:row>
    <x:row r="64" ht="56" customHeight="1">
      <x:c r="A64" s="12" t="str">
        <x:v>Cheesy Mushroom Egg Muffin</x:v>
      </x:c>
      <x:c r="B64" s="12" t="str">
        <x:v>Not matched</x:v>
      </x:c>
      <x:c r="C64" s="9"/>
      <x:c r="D64" s="9"/>
      <x:c r="E64" s="14"/>
      <x:c r="F64" s="12"/>
      <x:c r="G64" s="10"/>
      <x:c r="H64" s="2" t="str">
        <x:v>e0f25e</x:v>
      </x:c>
      <x:c r="I64" s="12" t="str">
        <x:v>EGG FRITATA MUFFIN (000236); SPINACH EGG MUFFIN (000272)</x:v>
      </x:c>
      <x:c r="J64" s="12" t="str">
        <x:v>No confirmed name match in your file. Possible names may be different recipes, components or portion sizes.</x:v>
      </x:c>
      <x:c r="K64" s="2" t="str">
        <x:v>664df6c3126a7c1fb8f0a124</x:v>
      </x:c>
      <x:c r="L64" s="11" t="n">
        <x:v>1</x:v>
      </x:c>
      <x:c r="M64" s="2" t="str">
        <x:v>Piece</x:v>
      </x:c>
    </x:row>
    <x:row r="65" ht="56" customHeight="1">
      <x:c r="A65" s="12" t="str">
        <x:v>Cherry Crumble</x:v>
      </x:c>
      <x:c r="B65" s="12" t="str">
        <x:v>Not matched</x:v>
      </x:c>
      <x:c r="C65" s="9"/>
      <x:c r="D65" s="9"/>
      <x:c r="E65" s="14"/>
      <x:c r="F65" s="12"/>
      <x:c r="G65" s="10"/>
      <x:c r="H65" s="2" t="str">
        <x:v>2d1693</x:v>
      </x:c>
      <x:c r="I65" s="12" t="str"/>
      <x:c r="J65" s="12" t="str">
        <x:v>No confirmed name match in your file. Possible names may be different recipes, components or portion sizes.</x:v>
      </x:c>
      <x:c r="K65" s="2" t="str">
        <x:v>68eb9deb51bd5483665d1fe4</x:v>
      </x:c>
      <x:c r="L65" s="11" t="n">
        <x:v>20</x:v>
      </x:c>
      <x:c r="M65" s="2" t="str">
        <x:v>Piece</x:v>
      </x:c>
    </x:row>
    <x:row r="66" ht="56" customHeight="1">
      <x:c r="A66" s="12" t="str">
        <x:v>Cherry Crumble Oatmeal</x:v>
      </x:c>
      <x:c r="B66" s="12" t="str">
        <x:v>Not matched</x:v>
      </x:c>
      <x:c r="C66" s="9"/>
      <x:c r="D66" s="9"/>
      <x:c r="E66" s="14"/>
      <x:c r="F66" s="12"/>
      <x:c r="G66" s="10"/>
      <x:c r="H66" s="2" t="str">
        <x:v>c1807d</x:v>
      </x:c>
      <x:c r="I66" s="12" t="str"/>
      <x:c r="J66" s="12" t="str">
        <x:v>No confirmed name match in your file. Possible names may be different recipes, components or portion sizes.</x:v>
      </x:c>
      <x:c r="K66" s="2" t="str">
        <x:v>68eb9eed193a7cf82ac1dff0</x:v>
      </x:c>
      <x:c r="L66" s="11" t="n">
        <x:v>5</x:v>
      </x:c>
      <x:c r="M66" s="2" t="str">
        <x:v>Piece</x:v>
      </x:c>
    </x:row>
    <x:row r="67" ht="56" customHeight="1">
      <x:c r="A67" s="12" t="str">
        <x:v>Chia Strawberry Bowl</x:v>
      </x:c>
      <x:c r="B67" s="12" t="str">
        <x:v>Not matched</x:v>
      </x:c>
      <x:c r="C67" s="9"/>
      <x:c r="D67" s="9"/>
      <x:c r="E67" s="14"/>
      <x:c r="F67" s="12"/>
      <x:c r="G67" s="10"/>
      <x:c r="H67" s="2" t="str">
        <x:v>16fc94</x:v>
      </x:c>
      <x:c r="I67" s="12" t="str">
        <x:v>STRAWBERRY CHIA (000341)</x:v>
      </x:c>
      <x:c r="J67" s="12" t="str">
        <x:v>No confirmed name match in your file. Possible names may be different recipes, components or portion sizes.</x:v>
      </x:c>
      <x:c r="K67" s="2" t="str">
        <x:v>6662f5e3f01b1aa307f90b09</x:v>
      </x:c>
      <x:c r="L67" s="11" t="n">
        <x:v>4</x:v>
      </x:c>
      <x:c r="M67" s="2" t="str">
        <x:v>Piece</x:v>
      </x:c>
    </x:row>
    <x:row r="68" ht="56" customHeight="1">
      <x:c r="A68" s="12" t="str">
        <x:v>Choco Cashew Pancake</x:v>
      </x:c>
      <x:c r="B68" s="12" t="str">
        <x:v>Not matched</x:v>
      </x:c>
      <x:c r="C68" s="9"/>
      <x:c r="D68" s="9"/>
      <x:c r="E68" s="14"/>
      <x:c r="F68" s="12"/>
      <x:c r="G68" s="10"/>
      <x:c r="H68" s="2" t="str">
        <x:v>1680ad</x:v>
      </x:c>
      <x:c r="I68" s="12" t="str">
        <x:v>CHOCOLATE CASHEW PANCAKE (000837); CHOCO CASHEW OVERNIGHT OATS (000829)</x:v>
      </x:c>
      <x:c r="J68" s="12" t="str">
        <x:v>No confirmed name match in your file. Possible names may be different recipes, components or portion sizes.</x:v>
      </x:c>
      <x:c r="K68" s="2" t="str">
        <x:v>663b9565a1a69004929ddcc2</x:v>
      </x:c>
      <x:c r="L68" s="11" t="n">
        <x:v>5</x:v>
      </x:c>
      <x:c r="M68" s="2" t="str">
        <x:v>Piece</x:v>
      </x:c>
    </x:row>
    <x:row r="69" ht="56" customHeight="1">
      <x:c r="A69" s="12" t="str">
        <x:v>Choco Zucchini Muffins</x:v>
      </x:c>
      <x:c r="B69" s="12" t="str">
        <x:v>Not matched</x:v>
      </x:c>
      <x:c r="C69" s="9"/>
      <x:c r="D69" s="9"/>
      <x:c r="E69" s="14"/>
      <x:c r="F69" s="12"/>
      <x:c r="G69" s="10"/>
      <x:c r="H69" s="2" t="str">
        <x:v>58f09b</x:v>
      </x:c>
      <x:c r="I69" s="12" t="str">
        <x:v>CHEDDAR ZUCCHINI MUFFINS (000859); LEMON WHITE CHOCO MUFFINS (000822)</x:v>
      </x:c>
      <x:c r="J69" s="12" t="str">
        <x:v>No confirmed name match in your file. Possible names may be different recipes, components or portion sizes.</x:v>
      </x:c>
      <x:c r="K69" s="2" t="str">
        <x:v>66422468e56bddb856ea8dac</x:v>
      </x:c>
      <x:c r="L69" s="11" t="n">
        <x:v>59</x:v>
      </x:c>
      <x:c r="M69" s="2" t="str">
        <x:v>Piece</x:v>
      </x:c>
    </x:row>
    <x:row r="70" ht="56" customHeight="1">
      <x:c r="A70" s="12" t="str">
        <x:v>Chocolate Cashew Overnight Oats</x:v>
      </x:c>
      <x:c r="B70" s="12" t="str">
        <x:v>Not matched</x:v>
      </x:c>
      <x:c r="C70" s="9"/>
      <x:c r="D70" s="9"/>
      <x:c r="E70" s="14"/>
      <x:c r="F70" s="12"/>
      <x:c r="G70" s="10"/>
      <x:c r="H70" s="2" t="str">
        <x:v>65b25e</x:v>
      </x:c>
      <x:c r="I70" s="12" t="str">
        <x:v>CHOCO CASHEW OVERNIGHT OATS (000829); CHOCOLATE OATS (000366)</x:v>
      </x:c>
      <x:c r="J70" s="12" t="str">
        <x:v>No confirmed name match in your file. Possible names may be different recipes, components or portion sizes.</x:v>
      </x:c>
      <x:c r="K70" s="2" t="str">
        <x:v>668ea2e59e29ab63d2a4dc30</x:v>
      </x:c>
      <x:c r="L70" s="11" t="n">
        <x:v>1</x:v>
      </x:c>
      <x:c r="M70" s="2" t="str">
        <x:v>Piece</x:v>
      </x:c>
    </x:row>
    <x:row r="71" ht="56" customHeight="1">
      <x:c r="A71" s="12" t="str">
        <x:v>Cold Quinoa Salad Mix</x:v>
      </x:c>
      <x:c r="B71" s="12" t="str">
        <x:v>Not matched</x:v>
      </x:c>
      <x:c r="C71" s="9"/>
      <x:c r="D71" s="9"/>
      <x:c r="E71" s="14"/>
      <x:c r="F71" s="12"/>
      <x:c r="G71" s="10"/>
      <x:c r="H71" s="2" t="str">
        <x:v>39428d</x:v>
      </x:c>
      <x:c r="I71" s="12" t="str">
        <x:v>COLD QUINOA SALAD W/ EGGS (000696)</x:v>
      </x:c>
      <x:c r="J71" s="12" t="str">
        <x:v>No confirmed name match in your file. Possible names may be different recipes, components or portion sizes.</x:v>
      </x:c>
      <x:c r="K71" s="2" t="str">
        <x:v>664df99c126a7c1fb8f0a75c</x:v>
      </x:c>
      <x:c r="L71" s="11" t="n">
        <x:v>1</x:v>
      </x:c>
      <x:c r="M71" s="2" t="str">
        <x:v>Piece</x:v>
      </x:c>
    </x:row>
    <x:row r="72" ht="56" customHeight="1">
      <x:c r="A72" s="12" t="str">
        <x:v>Cookies &amp; Cream Overnight Oats</x:v>
      </x:c>
      <x:c r="B72" s="12" t="str">
        <x:v>Not matched</x:v>
      </x:c>
      <x:c r="C72" s="9"/>
      <x:c r="D72" s="9"/>
      <x:c r="E72" s="14"/>
      <x:c r="F72" s="12"/>
      <x:c r="G72" s="10"/>
      <x:c r="H72" s="2" t="str">
        <x:v>caf848</x:v>
      </x:c>
      <x:c r="I72" s="12" t="str"/>
      <x:c r="J72" s="12" t="str">
        <x:v>No confirmed name match in your file. Possible names may be different recipes, components or portion sizes.</x:v>
      </x:c>
      <x:c r="K72" s="2" t="str">
        <x:v>6aa521e0af07160ac9861b82</x:v>
      </x:c>
      <x:c r="L72" s="11" t="n">
        <x:v>1</x:v>
      </x:c>
      <x:c r="M72" s="2" t="str">
        <x:v>Piece</x:v>
      </x:c>
    </x:row>
    <x:row r="73" ht="56" customHeight="1">
      <x:c r="A73" s="12" t="str">
        <x:v>Creamy Apple Slaw</x:v>
      </x:c>
      <x:c r="B73" s="12" t="str">
        <x:v>Not matched</x:v>
      </x:c>
      <x:c r="C73" s="9"/>
      <x:c r="D73" s="9"/>
      <x:c r="E73" s="14"/>
      <x:c r="F73" s="12"/>
      <x:c r="G73" s="10"/>
      <x:c r="H73" s="2" t="str">
        <x:v>b935b1</x:v>
      </x:c>
      <x:c r="I73" s="12" t="str">
        <x:v>POACHED EGG WITH CREAMY APPLE SLAW (000856)</x:v>
      </x:c>
      <x:c r="J73" s="12" t="str">
        <x:v>No confirmed name match in your file. Possible names may be different recipes, components or portion sizes.</x:v>
      </x:c>
      <x:c r="K73" s="2" t="str">
        <x:v>663c86e9c16dc81a81907195</x:v>
      </x:c>
      <x:c r="L73" s="11" t="n">
        <x:v>49</x:v>
      </x:c>
      <x:c r="M73" s="2" t="str">
        <x:v>Piece</x:v>
      </x:c>
    </x:row>
    <x:row r="74" ht="56" customHeight="1">
      <x:c r="A74" s="12" t="str">
        <x:v>Egg Breakfast Roll</x:v>
      </x:c>
      <x:c r="B74" s="12" t="str">
        <x:v>Not matched</x:v>
      </x:c>
      <x:c r="C74" s="9"/>
      <x:c r="D74" s="9"/>
      <x:c r="E74" s="14"/>
      <x:c r="F74" s="12"/>
      <x:c r="G74" s="10"/>
      <x:c r="H74" s="2" t="str">
        <x:v>7fb62c</x:v>
      </x:c>
      <x:c r="I74" s="12" t="str">
        <x:v>BREAKFAST EGG WRAP (000680); BREAKFAST EGG (L) (000764) - LARGE PORTION</x:v>
      </x:c>
      <x:c r="J74" s="12" t="str">
        <x:v>No confirmed name match in your file. Possible names may be different recipes, components or portion sizes.</x:v>
      </x:c>
      <x:c r="K74" s="2" t="str">
        <x:v>66a37ca9d2504e6cc2e88ba8</x:v>
      </x:c>
      <x:c r="L74" s="11" t="n">
        <x:v>1</x:v>
      </x:c>
      <x:c r="M74" s="2" t="str">
        <x:v>Piece</x:v>
      </x:c>
    </x:row>
    <x:row r="75" ht="56" customHeight="1">
      <x:c r="A75" s="12" t="str">
        <x:v>Egg-Kani Style Wrap</x:v>
      </x:c>
      <x:c r="B75" s="12" t="str">
        <x:v>Not matched</x:v>
      </x:c>
      <x:c r="C75" s="9"/>
      <x:c r="D75" s="9"/>
      <x:c r="E75" s="14"/>
      <x:c r="F75" s="12"/>
      <x:c r="G75" s="10"/>
      <x:c r="H75" s="2" t="str">
        <x:v>c84b6c</x:v>
      </x:c>
      <x:c r="I75" s="12" t="str">
        <x:v>BREAKFAST EGG WRAP (000680)</x:v>
      </x:c>
      <x:c r="J75" s="12" t="str">
        <x:v>No confirmed name match in your file. Possible names may be different recipes, components or portion sizes.</x:v>
      </x:c>
      <x:c r="K75" s="2" t="str">
        <x:v>66951b6641ef6f2d75e7c7e6</x:v>
      </x:c>
      <x:c r="L75" s="11" t="n">
        <x:v>1</x:v>
      </x:c>
      <x:c r="M75" s="2" t="str">
        <x:v>Piece</x:v>
      </x:c>
    </x:row>
    <x:row r="76" ht="56" customHeight="1">
      <x:c r="A76" s="12" t="str">
        <x:v>French Onion Fritata</x:v>
      </x:c>
      <x:c r="B76" s="12" t="str">
        <x:v>Not matched</x:v>
      </x:c>
      <x:c r="C76" s="9"/>
      <x:c r="D76" s="9"/>
      <x:c r="E76" s="14"/>
      <x:c r="F76" s="12"/>
      <x:c r="G76" s="10"/>
      <x:c r="H76" s="2" t="str">
        <x:v>a4277a</x:v>
      </x:c>
      <x:c r="I76" s="12" t="str">
        <x:v>HEALTHY CABBAGE ONION FRITATA (000480)</x:v>
      </x:c>
      <x:c r="J76" s="12" t="str">
        <x:v>No confirmed name match in your file. Possible names may be different recipes, components or portion sizes.</x:v>
      </x:c>
      <x:c r="K76" s="2" t="str">
        <x:v>673234e9bf0ff62dcd4b47f4</x:v>
      </x:c>
      <x:c r="L76" s="11" t="n">
        <x:v>12</x:v>
      </x:c>
      <x:c r="M76" s="2" t="str">
        <x:v>Piece</x:v>
      </x:c>
    </x:row>
    <x:row r="77" ht="56" customHeight="1">
      <x:c r="A77" s="12" t="str">
        <x:v>French Toast</x:v>
      </x:c>
      <x:c r="B77" s="12" t="str">
        <x:v>Not matched</x:v>
      </x:c>
      <x:c r="C77" s="9"/>
      <x:c r="D77" s="9"/>
      <x:c r="E77" s="14"/>
      <x:c r="F77" s="12"/>
      <x:c r="G77" s="10"/>
      <x:c r="H77" s="2" t="str">
        <x:v>f75066</x:v>
      </x:c>
      <x:c r="I77" s="12" t="str">
        <x:v>SAVOURY FRENCH TOAST (000832); GLUTEN FREE FRENCH TOAST (000453)</x:v>
      </x:c>
      <x:c r="J77" s="12" t="str">
        <x:v>No confirmed name match in your file. Possible names may be different recipes, components or portion sizes.</x:v>
      </x:c>
      <x:c r="K77" s="2" t="str">
        <x:v>664b53ca381a3c6c7395fee9</x:v>
      </x:c>
      <x:c r="L77" s="11" t="n">
        <x:v>8.3</x:v>
      </x:c>
      <x:c r="M77" s="2" t="str">
        <x:v>Piece</x:v>
      </x:c>
    </x:row>
    <x:row r="78" ht="56" customHeight="1">
      <x:c r="A78" s="12" t="str">
        <x:v>Fresh and Crisp Egg Roll Wrap</x:v>
      </x:c>
      <x:c r="B78" s="12" t="str">
        <x:v>Not matched</x:v>
      </x:c>
      <x:c r="C78" s="9"/>
      <x:c r="D78" s="9"/>
      <x:c r="E78" s="14"/>
      <x:c r="F78" s="12"/>
      <x:c r="G78" s="10"/>
      <x:c r="H78" s="2" t="str">
        <x:v>ad2042</x:v>
      </x:c>
      <x:c r="I78" s="12" t="str"/>
      <x:c r="J78" s="12" t="str">
        <x:v>No confirmed name match in your file. Possible names may be different recipes, components or portion sizes.</x:v>
      </x:c>
      <x:c r="K78" s="2" t="str">
        <x:v>66951d340acd05541571ccd3</x:v>
      </x:c>
      <x:c r="L78" s="11" t="n">
        <x:v>1</x:v>
      </x:c>
      <x:c r="M78" s="2" t="str">
        <x:v>Piece</x:v>
      </x:c>
    </x:row>
    <x:row r="79" ht="56" customHeight="1">
      <x:c r="A79" s="12" t="str">
        <x:v>Georgian Eggplant-Mayo with Walnut</x:v>
      </x:c>
      <x:c r="B79" s="12" t="str">
        <x:v>Not matched</x:v>
      </x:c>
      <x:c r="C79" s="9"/>
      <x:c r="D79" s="9"/>
      <x:c r="E79" s="14"/>
      <x:c r="F79" s="12"/>
      <x:c r="G79" s="10"/>
      <x:c r="H79" s="2" t="str">
        <x:v>fe93eb</x:v>
      </x:c>
      <x:c r="I79" s="12" t="str"/>
      <x:c r="J79" s="12" t="str">
        <x:v>No confirmed name match in your file. Possible names may be different recipes, components or portion sizes.</x:v>
      </x:c>
      <x:c r="K79" s="2" t="str">
        <x:v>664e01b1126a7c1fb8f0c457</x:v>
      </x:c>
      <x:c r="L79" s="11" t="n">
        <x:v>14</x:v>
      </x:c>
      <x:c r="M79" s="2" t="str">
        <x:v>Piece</x:v>
      </x:c>
    </x:row>
    <x:row r="80" ht="56" customHeight="1">
      <x:c r="A80" s="12" t="str">
        <x:v>Ginger Bread Overnight Oats</x:v>
      </x:c>
      <x:c r="B80" s="12" t="str">
        <x:v>Not matched</x:v>
      </x:c>
      <x:c r="C80" s="9"/>
      <x:c r="D80" s="9"/>
      <x:c r="E80" s="14"/>
      <x:c r="F80" s="12"/>
      <x:c r="G80" s="10"/>
      <x:c r="H80" s="2" t="str">
        <x:v>dcf3b3</x:v>
      </x:c>
      <x:c r="I80" s="12" t="str"/>
      <x:c r="J80" s="12" t="str">
        <x:v>No confirmed name match in your file. Possible names may be different recipes, components or portion sizes.</x:v>
      </x:c>
      <x:c r="K80" s="2" t="str">
        <x:v>6aa5241e99a47d12aa178692</x:v>
      </x:c>
      <x:c r="L80" s="11" t="n">
        <x:v>1</x:v>
      </x:c>
      <x:c r="M80" s="2" t="str">
        <x:v>Piece</x:v>
      </x:c>
    </x:row>
    <x:row r="81" ht="56" customHeight="1">
      <x:c r="A81" s="12" t="str">
        <x:v>Greek Style Vegetable Egg Cake</x:v>
      </x:c>
      <x:c r="B81" s="12" t="str">
        <x:v>Not matched</x:v>
      </x:c>
      <x:c r="C81" s="9"/>
      <x:c r="D81" s="9"/>
      <x:c r="E81" s="14"/>
      <x:c r="F81" s="12"/>
      <x:c r="G81" s="10"/>
      <x:c r="H81" s="2" t="str">
        <x:v>ee2e1c</x:v>
      </x:c>
      <x:c r="I81" s="12" t="str">
        <x:v>GREEK-STYLE VEGETABLE OMELETTE (000742); EGG CAKES (000235)</x:v>
      </x:c>
      <x:c r="J81" s="12" t="str">
        <x:v>No confirmed name match in your file. Possible names may be different recipes, components or portion sizes.</x:v>
      </x:c>
      <x:c r="K81" s="2" t="str">
        <x:v>66573ab5538ca0d9f255adc0</x:v>
      </x:c>
      <x:c r="L81" s="11" t="n">
        <x:v>12</x:v>
      </x:c>
      <x:c r="M81" s="2" t="str">
        <x:v>Piece</x:v>
      </x:c>
    </x:row>
    <x:row r="82" ht="56" customHeight="1">
      <x:c r="A82" s="12" t="str">
        <x:v>Greek Style Vegetable Scramble Egg</x:v>
      </x:c>
      <x:c r="B82" s="12" t="str">
        <x:v>Not matched</x:v>
      </x:c>
      <x:c r="C82" s="9"/>
      <x:c r="D82" s="9"/>
      <x:c r="E82" s="14"/>
      <x:c r="F82" s="12"/>
      <x:c r="G82" s="10"/>
      <x:c r="H82" s="2" t="str">
        <x:v>88b2b2</x:v>
      </x:c>
      <x:c r="I82" s="12" t="str">
        <x:v>GREEK-STYLE VEGETABLE OMELETTE (000742)</x:v>
      </x:c>
      <x:c r="J82" s="12" t="str">
        <x:v>No confirmed name match in your file. Possible names may be different recipes, components or portion sizes.</x:v>
      </x:c>
      <x:c r="K82" s="2" t="str">
        <x:v>66a3a4a8a680434b22ca638f</x:v>
      </x:c>
      <x:c r="L82" s="11" t="n">
        <x:v>12</x:v>
      </x:c>
      <x:c r="M82" s="2" t="str">
        <x:v>Piece</x:v>
      </x:c>
    </x:row>
    <x:row r="83" ht="56" customHeight="1">
      <x:c r="A83" s="12" t="str">
        <x:v>Green Champion Scramble Egg</x:v>
      </x:c>
      <x:c r="B83" s="12" t="str">
        <x:v>Not matched</x:v>
      </x:c>
      <x:c r="C83" s="9"/>
      <x:c r="D83" s="9"/>
      <x:c r="E83" s="14"/>
      <x:c r="F83" s="12"/>
      <x:c r="G83" s="10"/>
      <x:c r="H83" s="2" t="str">
        <x:v>84d128</x:v>
      </x:c>
      <x:c r="I83" s="12" t="str"/>
      <x:c r="J83" s="12" t="str">
        <x:v>No confirmed name match in your file. Possible names may be different recipes, components or portion sizes.</x:v>
      </x:c>
      <x:c r="K83" s="2" t="str">
        <x:v>664efc78f4ae4a903c77ab62</x:v>
      </x:c>
      <x:c r="L83" s="11" t="n">
        <x:v>1</x:v>
      </x:c>
      <x:c r="M83" s="2" t="str">
        <x:v>Piece</x:v>
      </x:c>
    </x:row>
    <x:row r="84" ht="56" customHeight="1">
      <x:c r="A84" s="12" t="str">
        <x:v>Green Shakshuka Mix</x:v>
      </x:c>
      <x:c r="B84" s="12" t="str">
        <x:v>Not matched</x:v>
      </x:c>
      <x:c r="C84" s="9"/>
      <x:c r="D84" s="9"/>
      <x:c r="E84" s="14"/>
      <x:c r="F84" s="12"/>
      <x:c r="G84" s="10"/>
      <x:c r="H84" s="2" t="str">
        <x:v>cac9da</x:v>
      </x:c>
      <x:c r="I84" s="12" t="str"/>
      <x:c r="J84" s="12" t="str">
        <x:v>No confirmed name match in your file. Possible names may be different recipes, components or portion sizes.</x:v>
      </x:c>
      <x:c r="K84" s="2" t="str">
        <x:v>664de75dcfa6820246811bed</x:v>
      </x:c>
      <x:c r="L84" s="11" t="n">
        <x:v>5.11</x:v>
      </x:c>
      <x:c r="M84" s="2" t="str">
        <x:v>Piece</x:v>
      </x:c>
    </x:row>
    <x:row r="85" ht="56" customHeight="1">
      <x:c r="A85" s="12" t="str">
        <x:v>Green Smoothie- Upside</x:v>
      </x:c>
      <x:c r="B85" s="12" t="str">
        <x:v>Not matched</x:v>
      </x:c>
      <x:c r="C85" s="9"/>
      <x:c r="D85" s="9"/>
      <x:c r="E85" s="14"/>
      <x:c r="F85" s="12"/>
      <x:c r="G85" s="10"/>
      <x:c r="H85" s="2" t="str">
        <x:v>b90fbf</x:v>
      </x:c>
      <x:c r="I85" s="12" t="str"/>
      <x:c r="J85" s="12" t="str">
        <x:v>No confirmed name match in your file. Possible names may be different recipes, components or portion sizes.</x:v>
      </x:c>
      <x:c r="K85" s="2" t="str">
        <x:v>6672b87c2de1846ccdf00c48</x:v>
      </x:c>
      <x:c r="L85" s="11" t="n">
        <x:v>1</x:v>
      </x:c>
      <x:c r="M85" s="2" t="str">
        <x:v>Piece</x:v>
      </x:c>
    </x:row>
    <x:row r="86" ht="56" customHeight="1">
      <x:c r="A86" s="12" t="str">
        <x:v>Halloumi</x:v>
      </x:c>
      <x:c r="B86" s="12" t="str">
        <x:v>Not matched</x:v>
      </x:c>
      <x:c r="C86" s="9"/>
      <x:c r="D86" s="9"/>
      <x:c r="E86" s="14"/>
      <x:c r="F86" s="12"/>
      <x:c r="G86" s="10"/>
      <x:c r="H86" s="2" t="str">
        <x:v>a09752</x:v>
      </x:c>
      <x:c r="I86" s="12" t="str"/>
      <x:c r="J86" s="12" t="str">
        <x:v>No confirmed name match in your file. Possible names may be different recipes, components or portion sizes.</x:v>
      </x:c>
      <x:c r="K86" s="2" t="str">
        <x:v>697f7a620d8ad73730001b54</x:v>
      </x:c>
      <x:c r="L86" s="11" t="n">
        <x:v>8</x:v>
      </x:c>
      <x:c r="M86" s="2" t="str">
        <x:v>Piece</x:v>
      </x:c>
    </x:row>
    <x:row r="87" ht="56" customHeight="1">
      <x:c r="A87" s="12" t="str">
        <x:v>Healthy Cabbage &amp; Onion Fritata</x:v>
      </x:c>
      <x:c r="B87" s="12" t="str">
        <x:v>Not matched</x:v>
      </x:c>
      <x:c r="C87" s="9"/>
      <x:c r="D87" s="9"/>
      <x:c r="E87" s="14"/>
      <x:c r="F87" s="12"/>
      <x:c r="G87" s="10"/>
      <x:c r="H87" s="2" t="str">
        <x:v>799260</x:v>
      </x:c>
      <x:c r="I87" s="12" t="str">
        <x:v>HEALTHY CABBAGE ONION FRITATA (000480)</x:v>
      </x:c>
      <x:c r="J87" s="12" t="str">
        <x:v>No confirmed name match in your file. Possible names may be different recipes, components or portion sizes.</x:v>
      </x:c>
      <x:c r="K87" s="2" t="str">
        <x:v>664de9ba126a7c1fb8f06e74</x:v>
      </x:c>
      <x:c r="L87" s="11" t="n">
        <x:v>1</x:v>
      </x:c>
      <x:c r="M87" s="2" t="str">
        <x:v>Piece</x:v>
      </x:c>
    </x:row>
    <x:row r="88" ht="56" customHeight="1">
      <x:c r="A88" s="12" t="str">
        <x:v>High Protein Chai Overnight Oats</x:v>
      </x:c>
      <x:c r="B88" s="12" t="str">
        <x:v>Not matched</x:v>
      </x:c>
      <x:c r="C88" s="9"/>
      <x:c r="D88" s="9"/>
      <x:c r="E88" s="14"/>
      <x:c r="F88" s="12"/>
      <x:c r="G88" s="10"/>
      <x:c r="H88" s="2" t="str">
        <x:v>d48f17</x:v>
      </x:c>
      <x:c r="I88" s="12" t="str"/>
      <x:c r="J88" s="12" t="str">
        <x:v>No confirmed name match in your file. Possible names may be different recipes, components or portion sizes.</x:v>
      </x:c>
      <x:c r="K88" s="2" t="str">
        <x:v>6aa5254cecdec54a9377b1d7</x:v>
      </x:c>
      <x:c r="L88" s="11" t="n">
        <x:v>1</x:v>
      </x:c>
      <x:c r="M88" s="2" t="str">
        <x:v>Piece</x:v>
      </x:c>
    </x:row>
    <x:row r="89" ht="56" customHeight="1">
      <x:c r="A89" s="12" t="str">
        <x:v>Hokaido Cupcake</x:v>
      </x:c>
      <x:c r="B89" s="12" t="str">
        <x:v>Not matched</x:v>
      </x:c>
      <x:c r="C89" s="9"/>
      <x:c r="D89" s="9"/>
      <x:c r="E89" s="14"/>
      <x:c r="F89" s="12"/>
      <x:c r="G89" s="10"/>
      <x:c r="H89" s="2" t="str">
        <x:v>e3bb16</x:v>
      </x:c>
      <x:c r="I89" s="12" t="str"/>
      <x:c r="J89" s="12" t="str">
        <x:v>No confirmed name match in your file. Possible names may be different recipes, components or portion sizes.</x:v>
      </x:c>
      <x:c r="K89" s="2" t="str">
        <x:v>664b1f9477161eebb3fe2758</x:v>
      </x:c>
      <x:c r="L89" s="11" t="n">
        <x:v>54</x:v>
      </x:c>
      <x:c r="M89" s="2" t="str">
        <x:v>Piece</x:v>
      </x:c>
    </x:row>
    <x:row r="90" ht="56" customHeight="1">
      <x:c r="A90" s="12" t="str">
        <x:v>Honey Lemon Chia Pancake</x:v>
      </x:c>
      <x:c r="B90" s="12" t="str">
        <x:v>Not matched</x:v>
      </x:c>
      <x:c r="C90" s="9"/>
      <x:c r="D90" s="9"/>
      <x:c r="E90" s="14"/>
      <x:c r="F90" s="12"/>
      <x:c r="G90" s="10"/>
      <x:c r="H90" s="2" t="str">
        <x:v>5a88eb</x:v>
      </x:c>
      <x:c r="I90" s="12" t="str">
        <x:v>RASPBERRY LEMON PANCAKE (000670)</x:v>
      </x:c>
      <x:c r="J90" s="12" t="str">
        <x:v>No confirmed name match in your file. Possible names may be different recipes, components or portion sizes.</x:v>
      </x:c>
      <x:c r="K90" s="2" t="str">
        <x:v>6657310d63ceded6f48cda96</x:v>
      </x:c>
      <x:c r="L90" s="11" t="n">
        <x:v>50</x:v>
      </x:c>
      <x:c r="M90" s="2" t="str">
        <x:v>Piece</x:v>
      </x:c>
    </x:row>
    <x:row r="91" ht="56" customHeight="1">
      <x:c r="A91" s="12" t="str">
        <x:v>Honey Saffron Oats</x:v>
      </x:c>
      <x:c r="B91" s="12" t="str">
        <x:v>Not matched</x:v>
      </x:c>
      <x:c r="C91" s="9"/>
      <x:c r="D91" s="9"/>
      <x:c r="E91" s="14"/>
      <x:c r="F91" s="12"/>
      <x:c r="G91" s="10"/>
      <x:c r="H91" s="2" t="str">
        <x:v>de9014</x:v>
      </x:c>
      <x:c r="I91" s="12" t="str"/>
      <x:c r="J91" s="12" t="str">
        <x:v>No confirmed name match in your file. Possible names may be different recipes, components or portion sizes.</x:v>
      </x:c>
      <x:c r="K91" s="2" t="str">
        <x:v>697f7e69df20d2f77d2e9594</x:v>
      </x:c>
      <x:c r="L91" s="11" t="n">
        <x:v>4.47</x:v>
      </x:c>
      <x:c r="M91" s="2" t="str">
        <x:v>Piece</x:v>
      </x:c>
    </x:row>
    <x:row r="92" ht="56" customHeight="1">
      <x:c r="A92" s="12" t="str">
        <x:v>Huevos Rancheros Mix</x:v>
      </x:c>
      <x:c r="B92" s="12" t="str">
        <x:v>Not matched</x:v>
      </x:c>
      <x:c r="C92" s="9"/>
      <x:c r="D92" s="9"/>
      <x:c r="E92" s="14"/>
      <x:c r="F92" s="12"/>
      <x:c r="G92" s="10"/>
      <x:c r="H92" s="2" t="str">
        <x:v>32cc7d</x:v>
      </x:c>
      <x:c r="I92" s="12" t="str">
        <x:v>HUEVOS RANCHEROS (000378)</x:v>
      </x:c>
      <x:c r="J92" s="12" t="str">
        <x:v>No confirmed name match in your file. Possible names may be different recipes, components or portion sizes.</x:v>
      </x:c>
      <x:c r="K92" s="2" t="str">
        <x:v>663a372ff1f4007fce141eb3</x:v>
      </x:c>
      <x:c r="L92" s="11" t="n">
        <x:v>10</x:v>
      </x:c>
      <x:c r="M92" s="2" t="str">
        <x:v>Piece</x:v>
      </x:c>
    </x:row>
    <x:row r="93" ht="56" customHeight="1">
      <x:c r="A93" s="12" t="str">
        <x:v>Kimchi Quinoa Bowl Mix</x:v>
      </x:c>
      <x:c r="B93" s="12" t="str">
        <x:v>Not matched</x:v>
      </x:c>
      <x:c r="C93" s="9"/>
      <x:c r="D93" s="9"/>
      <x:c r="E93" s="14"/>
      <x:c r="F93" s="12"/>
      <x:c r="G93" s="10"/>
      <x:c r="H93" s="2" t="str">
        <x:v>f59176</x:v>
      </x:c>
      <x:c r="I93" s="12" t="str"/>
      <x:c r="J93" s="12" t="str">
        <x:v>No confirmed name match in your file. Possible names may be different recipes, components or portion sizes.</x:v>
      </x:c>
      <x:c r="K93" s="2" t="str">
        <x:v>663b50e6a1a69004929d7dcb</x:v>
      </x:c>
      <x:c r="L93" s="11" t="n">
        <x:v>1</x:v>
      </x:c>
      <x:c r="M93" s="2" t="str">
        <x:v>Piece</x:v>
      </x:c>
    </x:row>
    <x:row r="94" ht="56" customHeight="1">
      <x:c r="A94" s="12" t="str">
        <x:v>Kimchi Tamago Wrap</x:v>
      </x:c>
      <x:c r="B94" s="12" t="str">
        <x:v>Not matched</x:v>
      </x:c>
      <x:c r="C94" s="9"/>
      <x:c r="D94" s="9"/>
      <x:c r="E94" s="14"/>
      <x:c r="F94" s="12"/>
      <x:c r="G94" s="10"/>
      <x:c r="H94" s="2" t="str">
        <x:v>09cb13</x:v>
      </x:c>
      <x:c r="I94" s="12" t="str"/>
      <x:c r="J94" s="12" t="str">
        <x:v>No confirmed name match in your file. Possible names may be different recipes, components or portion sizes.</x:v>
      </x:c>
      <x:c r="K94" s="2" t="str">
        <x:v>698a1b3c8b35f0a9127a1c51</x:v>
      </x:c>
      <x:c r="L94" s="11" t="n">
        <x:v>1</x:v>
      </x:c>
      <x:c r="M94" s="2" t="str">
        <x:v>Piece</x:v>
      </x:c>
    </x:row>
    <x:row r="95" ht="56" customHeight="1">
      <x:c r="A95" s="12" t="str">
        <x:v>Korean Crab Jeon</x:v>
      </x:c>
      <x:c r="B95" s="12" t="str">
        <x:v>Not matched</x:v>
      </x:c>
      <x:c r="C95" s="9"/>
      <x:c r="D95" s="9"/>
      <x:c r="E95" s="14"/>
      <x:c r="F95" s="12"/>
      <x:c r="G95" s="10"/>
      <x:c r="H95" s="2" t="str">
        <x:v>73e24a</x:v>
      </x:c>
      <x:c r="I95" s="12" t="str"/>
      <x:c r="J95" s="12" t="str">
        <x:v>No confirmed name match in your file. Possible names may be different recipes, components or portion sizes.</x:v>
      </x:c>
      <x:c r="K95" s="2" t="str">
        <x:v>664e00c7126a7c1fb8f0beaf</x:v>
      </x:c>
      <x:c r="L95" s="11" t="n">
        <x:v>12</x:v>
      </x:c>
      <x:c r="M95" s="2" t="str">
        <x:v>Piece</x:v>
      </x:c>
    </x:row>
    <x:row r="96" ht="56" customHeight="1">
      <x:c r="A96" s="12" t="str">
        <x:v>Korean Scramble Egg Muffin</x:v>
      </x:c>
      <x:c r="B96" s="12" t="str">
        <x:v>Not matched</x:v>
      </x:c>
      <x:c r="C96" s="9"/>
      <x:c r="D96" s="9"/>
      <x:c r="E96" s="14"/>
      <x:c r="F96" s="12"/>
      <x:c r="G96" s="10"/>
      <x:c r="H96" s="2" t="str">
        <x:v>d51736</x:v>
      </x:c>
      <x:c r="I96" s="12" t="str">
        <x:v>EGG FRITATA MUFFIN (000236); SPINACH EGG MUFFIN (000272)</x:v>
      </x:c>
      <x:c r="J96" s="12" t="str">
        <x:v>No confirmed name match in your file. Possible names may be different recipes, components or portion sizes.</x:v>
      </x:c>
      <x:c r="K96" s="2" t="str">
        <x:v>664df7edecb1848d3e98f3a7</x:v>
      </x:c>
      <x:c r="L96" s="11" t="n">
        <x:v>1</x:v>
      </x:c>
      <x:c r="M96" s="2" t="str">
        <x:v>Piece</x:v>
      </x:c>
    </x:row>
    <x:row r="97" ht="56" customHeight="1">
      <x:c r="A97" s="12" t="str">
        <x:v>Lemon White Choco Oat Muffins</x:v>
      </x:c>
      <x:c r="B97" s="12" t="str">
        <x:v>Not matched</x:v>
      </x:c>
      <x:c r="C97" s="9"/>
      <x:c r="D97" s="9"/>
      <x:c r="E97" s="14"/>
      <x:c r="F97" s="12"/>
      <x:c r="G97" s="10"/>
      <x:c r="H97" s="2" t="str">
        <x:v>e190d9</x:v>
      </x:c>
      <x:c r="I97" s="12" t="str">
        <x:v>LEMON WHITE CHOCO MUFFINS (000822)</x:v>
      </x:c>
      <x:c r="J97" s="12" t="str">
        <x:v>No confirmed name match in your file. Possible names may be different recipes, components or portion sizes.</x:v>
      </x:c>
      <x:c r="K97" s="2" t="str">
        <x:v>663cc030f56dc2f9188ed865</x:v>
      </x:c>
      <x:c r="L97" s="11" t="n">
        <x:v>51</x:v>
      </x:c>
      <x:c r="M97" s="2" t="str">
        <x:v>Piece</x:v>
      </x:c>
    </x:row>
    <x:row r="98" ht="56" customHeight="1">
      <x:c r="A98" s="12" t="str">
        <x:v>Lime Waffle</x:v>
      </x:c>
      <x:c r="B98" s="12" t="str">
        <x:v>Not matched</x:v>
      </x:c>
      <x:c r="C98" s="9"/>
      <x:c r="D98" s="9"/>
      <x:c r="E98" s="14"/>
      <x:c r="F98" s="12"/>
      <x:c r="G98" s="10"/>
      <x:c r="H98" s="2" t="str">
        <x:v>668d22</x:v>
      </x:c>
      <x:c r="I98" s="12" t="str">
        <x:v>LIME WAFFLE (L) (000765) - LARGE PORTION; WAFFLES (000076)</x:v>
      </x:c>
      <x:c r="J98" s="12" t="str">
        <x:v>No confirmed name match in your file. Possible names may be different recipes, components or portion sizes.</x:v>
      </x:c>
      <x:c r="K98" s="2" t="str">
        <x:v>668ea147bad316b25005c99d</x:v>
      </x:c>
      <x:c r="L98" s="11" t="n">
        <x:v>1</x:v>
      </x:c>
      <x:c r="M98" s="2" t="str">
        <x:v>Piece</x:v>
      </x:c>
    </x:row>
    <x:row r="99" ht="56" customHeight="1">
      <x:c r="A99" s="12" t="str">
        <x:v>Loaded Egg Casserole</x:v>
      </x:c>
      <x:c r="B99" s="12" t="str">
        <x:v>Not matched</x:v>
      </x:c>
      <x:c r="C99" s="9"/>
      <x:c r="D99" s="9"/>
      <x:c r="E99" s="14"/>
      <x:c r="F99" s="12"/>
      <x:c r="G99" s="10"/>
      <x:c r="H99" s="2" t="str">
        <x:v>fbef55</x:v>
      </x:c>
      <x:c r="I99" s="12" t="str">
        <x:v>KOREAN EGG CASSEROLE (000823); KOREAN EGG CASSEROLE (L) (000814) - LARGE PORTION</x:v>
      </x:c>
      <x:c r="J99" s="12" t="str">
        <x:v>No confirmed name match in your file. Possible names may be different recipes, components or portion sizes.</x:v>
      </x:c>
      <x:c r="K99" s="2" t="str">
        <x:v>664e0648ecb1848d3e994375</x:v>
      </x:c>
      <x:c r="L99" s="11" t="n">
        <x:v>12</x:v>
      </x:c>
      <x:c r="M99" s="2" t="str">
        <x:v>Piece</x:v>
      </x:c>
    </x:row>
    <x:row r="100" ht="56" customHeight="1">
      <x:c r="A100" s="12" t="str">
        <x:v>Macaroni Pasta Mix</x:v>
      </x:c>
      <x:c r="B100" s="12" t="str">
        <x:v>Not matched</x:v>
      </x:c>
      <x:c r="C100" s="9"/>
      <x:c r="D100" s="9"/>
      <x:c r="E100" s="14"/>
      <x:c r="F100" s="12"/>
      <x:c r="G100" s="10"/>
      <x:c r="H100" s="2" t="str">
        <x:v>d6a096</x:v>
      </x:c>
      <x:c r="I100" s="12" t="str"/>
      <x:c r="J100" s="12" t="str">
        <x:v>No confirmed name match in your file. Possible names may be different recipes, components or portion sizes.</x:v>
      </x:c>
      <x:c r="K100" s="2" t="str">
        <x:v>663f50e51b093218296cb638</x:v>
      </x:c>
      <x:c r="L100" s="11" t="n">
        <x:v>32</x:v>
      </x:c>
      <x:c r="M100" s="2" t="str">
        <x:v>Piece</x:v>
      </x:c>
    </x:row>
    <x:row r="101" ht="56" customHeight="1">
      <x:c r="A101" s="12" t="str">
        <x:v>Mayak Eggs</x:v>
      </x:c>
      <x:c r="B101" s="12" t="str">
        <x:v>Not matched</x:v>
      </x:c>
      <x:c r="C101" s="9"/>
      <x:c r="D101" s="9"/>
      <x:c r="E101" s="14"/>
      <x:c r="F101" s="12"/>
      <x:c r="G101" s="10"/>
      <x:c r="H101" s="2" t="str">
        <x:v>93635e</x:v>
      </x:c>
      <x:c r="I101" s="12" t="str"/>
      <x:c r="J101" s="12" t="str">
        <x:v>No confirmed name match in your file. Possible names may be different recipes, components or portion sizes.</x:v>
      </x:c>
      <x:c r="K101" s="2" t="str">
        <x:v>66571b6c63ceded6f48c3585</x:v>
      </x:c>
      <x:c r="L101" s="11" t="n">
        <x:v>1</x:v>
      </x:c>
      <x:c r="M101" s="2" t="str">
        <x:v>Piece</x:v>
      </x:c>
    </x:row>
    <x:row r="102" ht="56" customHeight="1">
      <x:c r="A102" s="12" t="str">
        <x:v>Mediterranean Scramble Egg</x:v>
      </x:c>
      <x:c r="B102" s="12" t="str">
        <x:v>Not matched</x:v>
      </x:c>
      <x:c r="C102" s="9"/>
      <x:c r="D102" s="9"/>
      <x:c r="E102" s="14"/>
      <x:c r="F102" s="12"/>
      <x:c r="G102" s="10"/>
      <x:c r="H102" s="2" t="str">
        <x:v>c76171</x:v>
      </x:c>
      <x:c r="I102" s="12" t="str">
        <x:v>MEDITERRANEAN SCRAMBLE (000821); MEDITERRANEAN SCRAMBLE (L) (000813) - LARGE PORTION</x:v>
      </x:c>
      <x:c r="J102" s="12" t="str">
        <x:v>No confirmed name match in your file. Possible names may be different recipes, components or portion sizes.</x:v>
      </x:c>
      <x:c r="K102" s="2" t="str">
        <x:v>664227cd6e2be5b72e081a33</x:v>
      </x:c>
      <x:c r="L102" s="11" t="n">
        <x:v>6.5</x:v>
      </x:c>
      <x:c r="M102" s="2" t="str">
        <x:v>Piece</x:v>
      </x:c>
    </x:row>
    <x:row r="103" ht="56" customHeight="1">
      <x:c r="A103" s="12" t="str">
        <x:v>Mexican Egg Wrap</x:v>
      </x:c>
      <x:c r="B103" s="12" t="str">
        <x:v>Not matched</x:v>
      </x:c>
      <x:c r="C103" s="9"/>
      <x:c r="D103" s="9"/>
      <x:c r="E103" s="14"/>
      <x:c r="F103" s="12"/>
      <x:c r="G103" s="10"/>
      <x:c r="H103" s="2" t="str">
        <x:v>867a0b</x:v>
      </x:c>
      <x:c r="I103" s="12" t="str">
        <x:v>BREAKFAST EGG WRAP (000680)</x:v>
      </x:c>
      <x:c r="J103" s="12" t="str">
        <x:v>No confirmed name match in your file. Possible names may be different recipes, components or portion sizes.</x:v>
      </x:c>
      <x:c r="K103" s="2" t="str">
        <x:v>66a3a972a680434b22ca6be1</x:v>
      </x:c>
      <x:c r="L103" s="11" t="n">
        <x:v>1</x:v>
      </x:c>
      <x:c r="M103" s="2" t="str">
        <x:v>Piece</x:v>
      </x:c>
    </x:row>
    <x:row r="104" ht="56" customHeight="1">
      <x:c r="A104" s="12" t="str">
        <x:v>Mix Fruits- Breakfast</x:v>
      </x:c>
      <x:c r="B104" s="12" t="str">
        <x:v>Not matched</x:v>
      </x:c>
      <x:c r="C104" s="9"/>
      <x:c r="D104" s="9"/>
      <x:c r="E104" s="14"/>
      <x:c r="F104" s="12"/>
      <x:c r="G104" s="10"/>
      <x:c r="H104" s="2" t="str">
        <x:v>d75650</x:v>
      </x:c>
      <x:c r="I104" s="12" t="str"/>
      <x:c r="J104" s="12" t="str">
        <x:v>No confirmed name match in your file. Possible names may be different recipes, components or portion sizes.</x:v>
      </x:c>
      <x:c r="K104" s="2" t="str">
        <x:v>664b52e96c066d4925bd1856</x:v>
      </x:c>
      <x:c r="L104" s="11" t="n">
        <x:v>1</x:v>
      </x:c>
      <x:c r="M104" s="2" t="str">
        <x:v>Piece</x:v>
      </x:c>
    </x:row>
    <x:row r="105" ht="56" customHeight="1">
      <x:c r="A105" s="12" t="str">
        <x:v>Nargesi Esfenaj</x:v>
      </x:c>
      <x:c r="B105" s="12" t="str">
        <x:v>Not matched</x:v>
      </x:c>
      <x:c r="C105" s="9"/>
      <x:c r="D105" s="9"/>
      <x:c r="E105" s="14"/>
      <x:c r="F105" s="12"/>
      <x:c r="G105" s="10"/>
      <x:c r="H105" s="2" t="str">
        <x:v>e4fb0a</x:v>
      </x:c>
      <x:c r="I105" s="12" t="str"/>
      <x:c r="J105" s="12" t="str">
        <x:v>No confirmed name match in your file. Possible names may be different recipes, components or portion sizes.</x:v>
      </x:c>
      <x:c r="K105" s="2" t="str">
        <x:v>664dff1bcfa682024681b3ec</x:v>
      </x:c>
      <x:c r="L105" s="11" t="n">
        <x:v>8.59</x:v>
      </x:c>
      <x:c r="M105" s="2" t="str">
        <x:v>Piece</x:v>
      </x:c>
    </x:row>
    <x:row r="106" ht="56" customHeight="1">
      <x:c r="A106" s="12" t="str">
        <x:v>New Oats Base</x:v>
      </x:c>
      <x:c r="B106" s="12" t="str">
        <x:v>Not matched</x:v>
      </x:c>
      <x:c r="C106" s="9"/>
      <x:c r="D106" s="9"/>
      <x:c r="E106" s="14"/>
      <x:c r="F106" s="12"/>
      <x:c r="G106" s="10"/>
      <x:c r="H106" s="2" t="str">
        <x:v>2569f0</x:v>
      </x:c>
      <x:c r="I106" s="12" t="str"/>
      <x:c r="J106" s="12" t="str">
        <x:v>No confirmed name match in your file. Possible names may be different recipes, components or portion sizes.</x:v>
      </x:c>
      <x:c r="K106" s="2" t="str">
        <x:v>6aa1481c0626cb099ddb5c44</x:v>
      </x:c>
      <x:c r="L106" s="11" t="n">
        <x:v>298</x:v>
      </x:c>
      <x:c r="M106" s="2" t="str">
        <x:v>Kg</x:v>
      </x:c>
    </x:row>
    <x:row r="107" ht="56" customHeight="1">
      <x:c r="A107" s="12" t="str">
        <x:v>Oats &amp; Spinach Egg Wrap</x:v>
      </x:c>
      <x:c r="B107" s="12" t="str">
        <x:v>Not matched</x:v>
      </x:c>
      <x:c r="C107" s="9"/>
      <x:c r="D107" s="9"/>
      <x:c r="E107" s="14"/>
      <x:c r="F107" s="12"/>
      <x:c r="G107" s="10"/>
      <x:c r="H107" s="2" t="str">
        <x:v>23288c</x:v>
      </x:c>
      <x:c r="I107" s="12" t="str"/>
      <x:c r="J107" s="12" t="str">
        <x:v>No confirmed name match in your file. Possible names may be different recipes, components or portion sizes.</x:v>
      </x:c>
      <x:c r="K107" s="2" t="str">
        <x:v>6695117dbd4d89487a7853db</x:v>
      </x:c>
      <x:c r="L107" s="11" t="n">
        <x:v>3</x:v>
      </x:c>
      <x:c r="M107" s="2" t="str">
        <x:v>Piece</x:v>
      </x:c>
    </x:row>
    <x:row r="108" ht="56" customHeight="1">
      <x:c r="A108" s="12" t="str">
        <x:v>Orange Spice Pancake</x:v>
      </x:c>
      <x:c r="B108" s="12" t="str">
        <x:v>Not matched</x:v>
      </x:c>
      <x:c r="C108" s="9"/>
      <x:c r="D108" s="9"/>
      <x:c r="E108" s="14"/>
      <x:c r="F108" s="12"/>
      <x:c r="G108" s="10"/>
      <x:c r="H108" s="2" t="str">
        <x:v>4b17c4</x:v>
      </x:c>
      <x:c r="I108" s="12" t="str"/>
      <x:c r="J108" s="12" t="str">
        <x:v>No confirmed name match in your file. Possible names may be different recipes, components or portion sizes.</x:v>
      </x:c>
      <x:c r="K108" s="2" t="str">
        <x:v>66bca83d43ba354f71c13d95</x:v>
      </x:c>
      <x:c r="L108" s="11" t="n">
        <x:v>43</x:v>
      </x:c>
      <x:c r="M108" s="2" t="str">
        <x:v>Piece</x:v>
      </x:c>
    </x:row>
    <x:row r="109" ht="56" customHeight="1">
      <x:c r="A109" s="12" t="str">
        <x:v>Overnight Biscoff Oats</x:v>
      </x:c>
      <x:c r="B109" s="12" t="str">
        <x:v>Not matched</x:v>
      </x:c>
      <x:c r="C109" s="9"/>
      <x:c r="D109" s="9"/>
      <x:c r="E109" s="14"/>
      <x:c r="F109" s="12"/>
      <x:c r="G109" s="10"/>
      <x:c r="H109" s="2" t="str">
        <x:v>92b437</x:v>
      </x:c>
      <x:c r="I109" s="12" t="str">
        <x:v>CHOCO CASHEW OVERNIGHT OATS (000829); LEMON PIE OVERNIGHT OATS (000860)</x:v>
      </x:c>
      <x:c r="J109" s="12" t="str">
        <x:v>No confirmed name match in your file. Possible names may be different recipes, components or portion sizes.</x:v>
      </x:c>
      <x:c r="K109" s="2" t="str">
        <x:v>6aa52fceecdec54a9377f955</x:v>
      </x:c>
      <x:c r="L109" s="11" t="n">
        <x:v>1</x:v>
      </x:c>
      <x:c r="M109" s="2" t="str">
        <x:v>Piece</x:v>
      </x:c>
    </x:row>
    <x:row r="110" ht="56" customHeight="1">
      <x:c r="A110" s="12" t="str">
        <x:v>Overnight Maple Pistachio Oats</x:v>
      </x:c>
      <x:c r="B110" s="12" t="str">
        <x:v>Not matched</x:v>
      </x:c>
      <x:c r="C110" s="9"/>
      <x:c r="D110" s="9"/>
      <x:c r="E110" s="14"/>
      <x:c r="F110" s="12"/>
      <x:c r="G110" s="10"/>
      <x:c r="H110" s="2" t="str">
        <x:v>f280fe</x:v>
      </x:c>
      <x:c r="I110" s="12" t="str"/>
      <x:c r="J110" s="12" t="str">
        <x:v>No confirmed name match in your file. Possible names may be different recipes, components or portion sizes.</x:v>
      </x:c>
      <x:c r="K110" s="2" t="str">
        <x:v>6aa529f3ecdec54a9377d020</x:v>
      </x:c>
      <x:c r="L110" s="11" t="n">
        <x:v>1</x:v>
      </x:c>
      <x:c r="M110" s="2" t="str">
        <x:v>Piece</x:v>
      </x:c>
    </x:row>
    <x:row r="111" ht="56" customHeight="1">
      <x:c r="A111" s="12" t="str">
        <x:v>Pepperoni Pizza Toast</x:v>
      </x:c>
      <x:c r="B111" s="12" t="str">
        <x:v>Not matched</x:v>
      </x:c>
      <x:c r="C111" s="9"/>
      <x:c r="D111" s="9"/>
      <x:c r="E111" s="14"/>
      <x:c r="F111" s="12"/>
      <x:c r="G111" s="10"/>
      <x:c r="H111" s="2" t="str">
        <x:v>5f38fe</x:v>
      </x:c>
      <x:c r="I111" s="12" t="str"/>
      <x:c r="J111" s="12" t="str">
        <x:v>No confirmed name match in your file. Possible names may be different recipes, components or portion sizes.</x:v>
      </x:c>
      <x:c r="K111" s="2" t="str">
        <x:v>664e0493ecb1848d3e993af0</x:v>
      </x:c>
      <x:c r="L111" s="11" t="n">
        <x:v>1</x:v>
      </x:c>
      <x:c r="M111" s="2" t="str">
        <x:v>Piece</x:v>
      </x:c>
    </x:row>
    <x:row r="112" ht="56" customHeight="1">
      <x:c r="A112" s="12" t="str">
        <x:v>Pinacolada- Upside</x:v>
      </x:c>
      <x:c r="B112" s="12" t="str">
        <x:v>Not matched</x:v>
      </x:c>
      <x:c r="C112" s="9"/>
      <x:c r="D112" s="9"/>
      <x:c r="E112" s="14"/>
      <x:c r="F112" s="12"/>
      <x:c r="G112" s="10"/>
      <x:c r="H112" s="2" t="str">
        <x:v>cd3954</x:v>
      </x:c>
      <x:c r="I112" s="12" t="str"/>
      <x:c r="J112" s="12" t="str">
        <x:v>No confirmed name match in your file. Possible names may be different recipes, components or portion sizes.</x:v>
      </x:c>
      <x:c r="K112" s="2" t="str">
        <x:v>6672b8d790c695bd66f3a120</x:v>
      </x:c>
      <x:c r="L112" s="11" t="n">
        <x:v>1</x:v>
      </x:c>
      <x:c r="M112" s="2" t="str">
        <x:v>Piece</x:v>
      </x:c>
    </x:row>
    <x:row r="113" ht="56" customHeight="1">
      <x:c r="A113" s="12" t="str">
        <x:v>Pistachio Rose Pancake</x:v>
      </x:c>
      <x:c r="B113" s="12" t="str">
        <x:v>Not matched</x:v>
      </x:c>
      <x:c r="C113" s="9"/>
      <x:c r="D113" s="9"/>
      <x:c r="E113" s="14"/>
      <x:c r="F113" s="12"/>
      <x:c r="G113" s="10"/>
      <x:c r="H113" s="2" t="str">
        <x:v>f5e994</x:v>
      </x:c>
      <x:c r="I113" s="12" t="str"/>
      <x:c r="J113" s="12" t="str">
        <x:v>No confirmed name match in your file. Possible names may be different recipes, components or portion sizes.</x:v>
      </x:c>
      <x:c r="K113" s="2" t="str">
        <x:v>698a0d6b8b35f0a91279bf04</x:v>
      </x:c>
      <x:c r="L113" s="11" t="n">
        <x:v>5</x:v>
      </x:c>
      <x:c r="M113" s="2" t="str">
        <x:v>Piece</x:v>
      </x:c>
    </x:row>
    <x:row r="114" ht="56" customHeight="1">
      <x:c r="A114" s="12" t="str">
        <x:v>Poached Egg</x:v>
      </x:c>
      <x:c r="B114" s="12" t="str">
        <x:v>Not matched</x:v>
      </x:c>
      <x:c r="C114" s="9"/>
      <x:c r="D114" s="9"/>
      <x:c r="E114" s="14"/>
      <x:c r="F114" s="12"/>
      <x:c r="G114" s="10"/>
      <x:c r="H114" s="2" t="str">
        <x:v>73e874</x:v>
      </x:c>
      <x:c r="I114" s="12" t="str"/>
      <x:c r="J114" s="12" t="str">
        <x:v>No confirmed name match in your file. Possible names may be different recipes, components or portion sizes.</x:v>
      </x:c>
      <x:c r="K114" s="2" t="str">
        <x:v>663f54c7fd92ccc9a03e3070</x:v>
      </x:c>
      <x:c r="L114" s="11" t="n">
        <x:v>1</x:v>
      </x:c>
      <x:c r="M114" s="2" t="str">
        <x:v>Piece</x:v>
      </x:c>
    </x:row>
    <x:row r="115" ht="56" customHeight="1">
      <x:c r="A115" s="12" t="str">
        <x:v>Poached Egg w/ Bacon</x:v>
      </x:c>
      <x:c r="B115" s="12" t="str">
        <x:v>Not matched</x:v>
      </x:c>
      <x:c r="C115" s="9"/>
      <x:c r="D115" s="9"/>
      <x:c r="E115" s="14"/>
      <x:c r="F115" s="12"/>
      <x:c r="G115" s="10"/>
      <x:c r="H115" s="2" t="str">
        <x:v>ca4dc0</x:v>
      </x:c>
      <x:c r="I115" s="12" t="str"/>
      <x:c r="J115" s="12" t="str">
        <x:v>No confirmed name match in your file. Possible names may be different recipes, components or portion sizes.</x:v>
      </x:c>
      <x:c r="K115" s="2" t="str">
        <x:v>663f66461b093218296cc44f</x:v>
      </x:c>
      <x:c r="L115" s="11" t="n">
        <x:v>1</x:v>
      </x:c>
      <x:c r="M115" s="2" t="str">
        <x:v>Piece</x:v>
      </x:c>
    </x:row>
    <x:row r="116" ht="56" customHeight="1">
      <x:c r="A116" s="12" t="str">
        <x:v>Protein Matcha Overnight Oats</x:v>
      </x:c>
      <x:c r="B116" s="12" t="str">
        <x:v>Not matched</x:v>
      </x:c>
      <x:c r="C116" s="9"/>
      <x:c r="D116" s="9"/>
      <x:c r="E116" s="14"/>
      <x:c r="F116" s="12"/>
      <x:c r="G116" s="10"/>
      <x:c r="H116" s="2" t="str">
        <x:v>9835aa</x:v>
      </x:c>
      <x:c r="I116" s="12" t="str"/>
      <x:c r="J116" s="12" t="str">
        <x:v>No confirmed name match in your file. Possible names may be different recipes, components or portion sizes.</x:v>
      </x:c>
      <x:c r="K116" s="2" t="str">
        <x:v>6ab4fe7e649fbecc8d8d1796</x:v>
      </x:c>
      <x:c r="L116" s="11" t="n">
        <x:v>1</x:v>
      </x:c>
      <x:c r="M116" s="2" t="str">
        <x:v>Piece</x:v>
      </x:c>
    </x:row>
    <x:row r="117" ht="56" customHeight="1">
      <x:c r="A117" s="12" t="str">
        <x:v>Pumpkin Pie Overnight Oats</x:v>
      </x:c>
      <x:c r="B117" s="12" t="str">
        <x:v>Not matched</x:v>
      </x:c>
      <x:c r="C117" s="9"/>
      <x:c r="D117" s="9"/>
      <x:c r="E117" s="14"/>
      <x:c r="F117" s="12"/>
      <x:c r="G117" s="10"/>
      <x:c r="H117" s="2" t="str">
        <x:v>78df72</x:v>
      </x:c>
      <x:c r="I117" s="12" t="str">
        <x:v>LEMON PIE OVERNIGHT OATS (000860); PUMPKIN OATS (000833)</x:v>
      </x:c>
      <x:c r="J117" s="12" t="str">
        <x:v>No confirmed name match in your file. Possible names may be different recipes, components or portion sizes.</x:v>
      </x:c>
      <x:c r="K117" s="2" t="str">
        <x:v>66548b19c91ef79c3c2b3416</x:v>
      </x:c>
      <x:c r="L117" s="11" t="n">
        <x:v>7.2</x:v>
      </x:c>
      <x:c r="M117" s="2" t="str">
        <x:v>Piece</x:v>
      </x:c>
    </x:row>
    <x:row r="118" ht="56" customHeight="1">
      <x:c r="A118" s="12" t="str">
        <x:v>Raspberry Muffins</x:v>
      </x:c>
      <x:c r="B118" s="12" t="str">
        <x:v>Not matched</x:v>
      </x:c>
      <x:c r="C118" s="9"/>
      <x:c r="D118" s="9"/>
      <x:c r="E118" s="14"/>
      <x:c r="F118" s="12"/>
      <x:c r="G118" s="10"/>
      <x:c r="H118" s="2" t="str">
        <x:v>24ad1b</x:v>
      </x:c>
      <x:c r="I118" s="12" t="str">
        <x:v>RASPBERRY MUFFINS (L) (000752) - LARGE PORTION; RASPBERRY FILLED MUFFINS (000826)</x:v>
      </x:c>
      <x:c r="J118" s="12" t="str">
        <x:v>No confirmed name match in your file. Possible names may be different recipes, components or portion sizes.</x:v>
      </x:c>
      <x:c r="K118" s="2" t="str">
        <x:v>664dc7de616087c9dc553248</x:v>
      </x:c>
      <x:c r="L118" s="11" t="n">
        <x:v>55</x:v>
      </x:c>
      <x:c r="M118" s="2" t="str">
        <x:v>Piece</x:v>
      </x:c>
    </x:row>
    <x:row r="119" ht="56" customHeight="1">
      <x:c r="A119" s="12" t="str">
        <x:v>Roasted Veg &amp; Potato Fritata</x:v>
      </x:c>
      <x:c r="B119" s="12" t="str">
        <x:v>Not matched</x:v>
      </x:c>
      <x:c r="C119" s="9"/>
      <x:c r="D119" s="9"/>
      <x:c r="E119" s="14"/>
      <x:c r="F119" s="12"/>
      <x:c r="G119" s="10"/>
      <x:c r="H119" s="2" t="str">
        <x:v>591ecb</x:v>
      </x:c>
      <x:c r="I119" s="12" t="str"/>
      <x:c r="J119" s="12" t="str">
        <x:v>No confirmed name match in your file. Possible names may be different recipes, components or portion sizes.</x:v>
      </x:c>
      <x:c r="K119" s="2" t="str">
        <x:v>663c7a87c16dc81a81906517</x:v>
      </x:c>
      <x:c r="L119" s="11" t="n">
        <x:v>12</x:v>
      </x:c>
      <x:c r="M119" s="2" t="str">
        <x:v>Piece</x:v>
      </x:c>
    </x:row>
    <x:row r="120" ht="56" customHeight="1">
      <x:c r="A120" s="12" t="str">
        <x:v>Rosemary Maple Cornbread Muffins</x:v>
      </x:c>
      <x:c r="B120" s="12" t="str">
        <x:v>Not matched</x:v>
      </x:c>
      <x:c r="C120" s="9"/>
      <x:c r="D120" s="9"/>
      <x:c r="E120" s="14"/>
      <x:c r="F120" s="12"/>
      <x:c r="G120" s="10"/>
      <x:c r="H120" s="2" t="str">
        <x:v>999134</x:v>
      </x:c>
      <x:c r="I120" s="12" t="str"/>
      <x:c r="J120" s="12" t="str">
        <x:v>No confirmed name match in your file. Possible names may be different recipes, components or portion sizes.</x:v>
      </x:c>
      <x:c r="K120" s="2" t="str">
        <x:v>663a397df1f4007fce1423ca</x:v>
      </x:c>
      <x:c r="L120" s="11" t="n">
        <x:v>11.6</x:v>
      </x:c>
      <x:c r="M120" s="2" t="str">
        <x:v>Piece</x:v>
      </x:c>
    </x:row>
    <x:row r="121" ht="56" customHeight="1">
      <x:c r="A121" s="12" t="str">
        <x:v>Sauteed Veg Mix</x:v>
      </x:c>
      <x:c r="B121" s="12" t="str">
        <x:v>Not matched</x:v>
      </x:c>
      <x:c r="C121" s="9"/>
      <x:c r="D121" s="9"/>
      <x:c r="E121" s="14"/>
      <x:c r="F121" s="12"/>
      <x:c r="G121" s="10"/>
      <x:c r="H121" s="2" t="str">
        <x:v>8c58d6</x:v>
      </x:c>
      <x:c r="I121" s="12" t="str"/>
      <x:c r="J121" s="12" t="str">
        <x:v>No confirmed name match in your file. Possible names may be different recipes, components or portion sizes.</x:v>
      </x:c>
      <x:c r="K121" s="2" t="str">
        <x:v>66409271a6e4924ec0848d26</x:v>
      </x:c>
      <x:c r="L121" s="11" t="n">
        <x:v>20</x:v>
      </x:c>
      <x:c r="M121" s="2" t="str">
        <x:v>Piece</x:v>
      </x:c>
    </x:row>
    <x:row r="122" ht="56" customHeight="1">
      <x:c r="A122" s="12" t="str">
        <x:v>Savoury Corn Muffins</x:v>
      </x:c>
      <x:c r="B122" s="12" t="str">
        <x:v>Not matched</x:v>
      </x:c>
      <x:c r="C122" s="9"/>
      <x:c r="D122" s="9"/>
      <x:c r="E122" s="14"/>
      <x:c r="F122" s="12"/>
      <x:c r="G122" s="10"/>
      <x:c r="H122" s="2" t="str">
        <x:v>fbf4ed</x:v>
      </x:c>
      <x:c r="I122" s="12" t="str">
        <x:v>Corn Muffins (000080); CHEESY CORN MUFFINS (000568)</x:v>
      </x:c>
      <x:c r="J122" s="12" t="str">
        <x:v>No confirmed name match in your file. Possible names may be different recipes, components or portion sizes.</x:v>
      </x:c>
      <x:c r="K122" s="2" t="str">
        <x:v>6657224039b140bd17cdf46d</x:v>
      </x:c>
      <x:c r="L122" s="11" t="n">
        <x:v>44</x:v>
      </x:c>
      <x:c r="M122" s="2" t="str">
        <x:v>Piece</x:v>
      </x:c>
    </x:row>
    <x:row r="123" ht="56" customHeight="1">
      <x:c r="A123" s="12" t="str">
        <x:v>Scramble Egg</x:v>
      </x:c>
      <x:c r="B123" s="12" t="str">
        <x:v>Not matched</x:v>
      </x:c>
      <x:c r="C123" s="9"/>
      <x:c r="D123" s="9"/>
      <x:c r="E123" s="14"/>
      <x:c r="F123" s="12"/>
      <x:c r="G123" s="10"/>
      <x:c r="H123" s="2" t="str">
        <x:v>ee2039</x:v>
      </x:c>
      <x:c r="I123" s="12" t="str"/>
      <x:c r="J123" s="12" t="str">
        <x:v>No confirmed name match in your file. Possible names may be different recipes, components or portion sizes.</x:v>
      </x:c>
      <x:c r="K123" s="2" t="str">
        <x:v>6638ce8903e56f5c1558d765</x:v>
      </x:c>
      <x:c r="L123" s="11" t="n">
        <x:v>1</x:v>
      </x:c>
      <x:c r="M123" s="2" t="str">
        <x:v>Piece</x:v>
      </x:c>
    </x:row>
    <x:row r="124" ht="56" customHeight="1">
      <x:c r="A124" s="12" t="str">
        <x:v>Scramble Egg w/ Bacon</x:v>
      </x:c>
      <x:c r="B124" s="12" t="str">
        <x:v>Not matched</x:v>
      </x:c>
      <x:c r="C124" s="9"/>
      <x:c r="D124" s="9"/>
      <x:c r="E124" s="14"/>
      <x:c r="F124" s="12"/>
      <x:c r="G124" s="10"/>
      <x:c r="H124" s="2" t="str">
        <x:v>25714e</x:v>
      </x:c>
      <x:c r="I124" s="12" t="str"/>
      <x:c r="J124" s="12" t="str">
        <x:v>No confirmed name match in your file. Possible names may be different recipes, components or portion sizes.</x:v>
      </x:c>
      <x:c r="K124" s="2" t="str">
        <x:v>6662fd91ee9ed1ba7a8764b5</x:v>
      </x:c>
      <x:c r="L124" s="11" t="n">
        <x:v>1</x:v>
      </x:c>
      <x:c r="M124" s="2" t="str">
        <x:v>Piece</x:v>
      </x:c>
    </x:row>
    <x:row r="125" ht="56" customHeight="1">
      <x:c r="A125" s="12" t="str">
        <x:v>Scramble Egg w/ Bacon &amp; Chives</x:v>
      </x:c>
      <x:c r="B125" s="12" t="str">
        <x:v>Not matched</x:v>
      </x:c>
      <x:c r="C125" s="9"/>
      <x:c r="D125" s="9"/>
      <x:c r="E125" s="14"/>
      <x:c r="F125" s="12"/>
      <x:c r="G125" s="10"/>
      <x:c r="H125" s="2" t="str">
        <x:v>b44cb2</x:v>
      </x:c>
      <x:c r="I125" s="12" t="str"/>
      <x:c r="J125" s="12" t="str">
        <x:v>No confirmed name match in your file. Possible names may be different recipes, components or portion sizes.</x:v>
      </x:c>
      <x:c r="K125" s="2" t="str">
        <x:v>6640920bbce341cb70bb0971</x:v>
      </x:c>
      <x:c r="L125" s="11" t="n">
        <x:v>1</x:v>
      </x:c>
      <x:c r="M125" s="2" t="str">
        <x:v>Piece</x:v>
      </x:c>
    </x:row>
    <x:row r="126" ht="56" customHeight="1">
      <x:c r="A126" s="12" t="str">
        <x:v>Scramble Eggs w/ Sundried Tomato &amp; Spinach</x:v>
      </x:c>
      <x:c r="B126" s="12" t="str">
        <x:v>Not matched</x:v>
      </x:c>
      <x:c r="C126" s="9"/>
      <x:c r="D126" s="9"/>
      <x:c r="E126" s="14"/>
      <x:c r="F126" s="12"/>
      <x:c r="G126" s="10"/>
      <x:c r="H126" s="2" t="str">
        <x:v>646979</x:v>
      </x:c>
      <x:c r="I126" s="12" t="str">
        <x:v>SPINACH AND SUNDRIED TOMATO EGG CUPS (000465); SPINACH AND SUNDRIED TOMATO EGG CAKE (000834)</x:v>
      </x:c>
      <x:c r="J126" s="12" t="str">
        <x:v>No confirmed name match in your file. Possible names may be different recipes, components or portion sizes.</x:v>
      </x:c>
      <x:c r="K126" s="2" t="str">
        <x:v>663b7be3a1a69004929dbd8a</x:v>
      </x:c>
      <x:c r="L126" s="11" t="n">
        <x:v>12</x:v>
      </x:c>
      <x:c r="M126" s="2" t="str">
        <x:v>Piece</x:v>
      </x:c>
    </x:row>
    <x:row r="127" ht="56" customHeight="1">
      <x:c r="A127" s="12" t="str">
        <x:v>Shakshuka Mix</x:v>
      </x:c>
      <x:c r="B127" s="12" t="str">
        <x:v>Not matched</x:v>
      </x:c>
      <x:c r="C127" s="9"/>
      <x:c r="D127" s="9"/>
      <x:c r="E127" s="14"/>
      <x:c r="F127" s="12"/>
      <x:c r="G127" s="10"/>
      <x:c r="H127" s="2" t="str">
        <x:v>2d5446</x:v>
      </x:c>
      <x:c r="I127" s="12" t="str"/>
      <x:c r="J127" s="12" t="str">
        <x:v>No confirmed name match in your file. Possible names may be different recipes, components or portion sizes.</x:v>
      </x:c>
      <x:c r="K127" s="2" t="str">
        <x:v>6641ced89f446179d014b405</x:v>
      </x:c>
      <x:c r="L127" s="11" t="n">
        <x:v>30</x:v>
      </x:c>
      <x:c r="M127" s="2" t="str">
        <x:v>Piece</x:v>
      </x:c>
    </x:row>
    <x:row r="128" ht="56" customHeight="1">
      <x:c r="A128" s="12" t="str">
        <x:v>Spicy Chickpea Mix</x:v>
      </x:c>
      <x:c r="B128" s="12" t="str">
        <x:v>Not matched</x:v>
      </x:c>
      <x:c r="C128" s="9"/>
      <x:c r="D128" s="9"/>
      <x:c r="E128" s="14"/>
      <x:c r="F128" s="12"/>
      <x:c r="G128" s="10"/>
      <x:c r="H128" s="2" t="str">
        <x:v>0782d4</x:v>
      </x:c>
      <x:c r="I128" s="12" t="str"/>
      <x:c r="J128" s="12" t="str">
        <x:v>No confirmed name match in your file. Possible names may be different recipes, components or portion sizes.</x:v>
      </x:c>
      <x:c r="K128" s="2" t="str">
        <x:v>697f79aedf20d2f77d2e51be</x:v>
      </x:c>
      <x:c r="L128" s="11" t="n">
        <x:v>7</x:v>
      </x:c>
      <x:c r="M128" s="2" t="str">
        <x:v>Piece</x:v>
      </x:c>
    </x:row>
    <x:row r="129" ht="56" customHeight="1">
      <x:c r="A129" s="12" t="str">
        <x:v>Spinach &amp; Mushroom Scramble Egg</x:v>
      </x:c>
      <x:c r="B129" s="12" t="str">
        <x:v>Not matched</x:v>
      </x:c>
      <x:c r="C129" s="9"/>
      <x:c r="D129" s="9"/>
      <x:c r="E129" s="14"/>
      <x:c r="F129" s="12"/>
      <x:c r="G129" s="10"/>
      <x:c r="H129" s="2" t="str">
        <x:v>29139d</x:v>
      </x:c>
      <x:c r="I129" s="12" t="str">
        <x:v>SPINACH,ONION &amp; MUSHROOM EGG CAKE (000830)</x:v>
      </x:c>
      <x:c r="J129" s="12" t="str">
        <x:v>No confirmed name match in your file. Possible names may be different recipes, components or portion sizes.</x:v>
      </x:c>
      <x:c r="K129" s="2" t="str">
        <x:v>669cc778dd64f052bed6994b</x:v>
      </x:c>
      <x:c r="L129" s="11" t="n">
        <x:v>14</x:v>
      </x:c>
      <x:c r="M129" s="2" t="str">
        <x:v>Piece</x:v>
      </x:c>
    </x:row>
    <x:row r="130" ht="56" customHeight="1">
      <x:c r="A130" s="12" t="str">
        <x:v>Spinach Egg Wrap with Chorizo</x:v>
      </x:c>
      <x:c r="B130" s="12" t="str">
        <x:v>Not matched</x:v>
      </x:c>
      <x:c r="C130" s="9"/>
      <x:c r="D130" s="9"/>
      <x:c r="E130" s="14"/>
      <x:c r="F130" s="12"/>
      <x:c r="G130" s="10"/>
      <x:c r="H130" s="2" t="str">
        <x:v>4c98eb</x:v>
      </x:c>
      <x:c r="I130" s="12" t="str"/>
      <x:c r="J130" s="12" t="str">
        <x:v>No confirmed name match in your file. Possible names may be different recipes, components or portion sizes.</x:v>
      </x:c>
      <x:c r="K130" s="2" t="str">
        <x:v>669512ffaab337af70e6caa1</x:v>
      </x:c>
      <x:c r="L130" s="11" t="n">
        <x:v>1</x:v>
      </x:c>
      <x:c r="M130" s="2" t="str">
        <x:v>Piece</x:v>
      </x:c>
    </x:row>
    <x:row r="131" ht="56" customHeight="1">
      <x:c r="A131" s="12" t="str">
        <x:v>Spinach Tortilla</x:v>
      </x:c>
      <x:c r="B131" s="12" t="str">
        <x:v>Not matched</x:v>
      </x:c>
      <x:c r="C131" s="9"/>
      <x:c r="D131" s="9"/>
      <x:c r="E131" s="14"/>
      <x:c r="F131" s="12"/>
      <x:c r="G131" s="10"/>
      <x:c r="H131" s="2" t="str">
        <x:v>58b8d1</x:v>
      </x:c>
      <x:c r="I131" s="12" t="str"/>
      <x:c r="J131" s="12" t="str">
        <x:v>No confirmed name match in your file. Possible names may be different recipes, components or portion sizes.</x:v>
      </x:c>
      <x:c r="K131" s="2" t="str">
        <x:v>6695154cf107bd908d1f094c</x:v>
      </x:c>
      <x:c r="L131" s="11" t="n">
        <x:v>5</x:v>
      </x:c>
      <x:c r="M131" s="2" t="str">
        <x:v>Piece</x:v>
      </x:c>
    </x:row>
    <x:row r="132" ht="56" customHeight="1">
      <x:c r="A132" s="12" t="str">
        <x:v>Spring Herb Fritata</x:v>
      </x:c>
      <x:c r="B132" s="12" t="str">
        <x:v>Not matched</x:v>
      </x:c>
      <x:c r="C132" s="9"/>
      <x:c r="D132" s="9"/>
      <x:c r="E132" s="14"/>
      <x:c r="F132" s="12"/>
      <x:c r="G132" s="10"/>
      <x:c r="H132" s="2" t="str">
        <x:v>e92a27</x:v>
      </x:c>
      <x:c r="I132" s="12" t="str"/>
      <x:c r="J132" s="12" t="str">
        <x:v>No confirmed name match in your file. Possible names may be different recipes, components or portion sizes.</x:v>
      </x:c>
      <x:c r="K132" s="2" t="str">
        <x:v>667038402de1846ccdeb7601</x:v>
      </x:c>
      <x:c r="L132" s="11" t="n">
        <x:v>12</x:v>
      </x:c>
      <x:c r="M132" s="2" t="str">
        <x:v>Piece</x:v>
      </x:c>
    </x:row>
    <x:row r="133" ht="56" customHeight="1">
      <x:c r="A133" s="12" t="str">
        <x:v>Sticky Peanut Rice</x:v>
      </x:c>
      <x:c r="B133" s="12" t="str">
        <x:v>Not matched</x:v>
      </x:c>
      <x:c r="C133" s="9"/>
      <x:c r="D133" s="9"/>
      <x:c r="E133" s="14"/>
      <x:c r="F133" s="12"/>
      <x:c r="G133" s="10"/>
      <x:c r="H133" s="2" t="str">
        <x:v>8c0ba0</x:v>
      </x:c>
      <x:c r="I133" s="12" t="str"/>
      <x:c r="J133" s="12" t="str">
        <x:v>No confirmed name match in your file. Possible names may be different recipes, components or portion sizes.</x:v>
      </x:c>
      <x:c r="K133" s="2" t="str">
        <x:v>66572092538ca0d9f254f89d</x:v>
      </x:c>
      <x:c r="L133" s="11" t="n">
        <x:v>4.25</x:v>
      </x:c>
      <x:c r="M133" s="2" t="str">
        <x:v>Piece</x:v>
      </x:c>
    </x:row>
    <x:row r="134" ht="56" customHeight="1">
      <x:c r="A134" s="12" t="str">
        <x:v>Strawberry Cheesecake Overnight Oats</x:v>
      </x:c>
      <x:c r="B134" s="12" t="str">
        <x:v>Not matched</x:v>
      </x:c>
      <x:c r="C134" s="9"/>
      <x:c r="D134" s="9"/>
      <x:c r="E134" s="14"/>
      <x:c r="F134" s="12"/>
      <x:c r="G134" s="10"/>
      <x:c r="H134" s="2" t="str">
        <x:v>75ee14</x:v>
      </x:c>
      <x:c r="I134" s="12" t="str">
        <x:v>CHOCO STRAWBERRY OATS (000868)</x:v>
      </x:c>
      <x:c r="J134" s="12" t="str">
        <x:v>No confirmed name match in your file. Possible names may be different recipes, components or portion sizes.</x:v>
      </x:c>
      <x:c r="K134" s="2" t="str">
        <x:v>6aaf7167744479ca72e69ca3</x:v>
      </x:c>
      <x:c r="L134" s="11" t="n">
        <x:v>1</x:v>
      </x:c>
      <x:c r="M134" s="2" t="str">
        <x:v>Piece</x:v>
      </x:c>
    </x:row>
    <x:row r="135" ht="56" customHeight="1">
      <x:c r="A135" s="12" t="str">
        <x:v>Sunny Side Up Egg</x:v>
      </x:c>
      <x:c r="B135" s="12" t="str">
        <x:v>Not matched</x:v>
      </x:c>
      <x:c r="C135" s="9"/>
      <x:c r="D135" s="9"/>
      <x:c r="E135" s="14"/>
      <x:c r="F135" s="12"/>
      <x:c r="G135" s="10"/>
      <x:c r="H135" s="2" t="str">
        <x:v>d944d9</x:v>
      </x:c>
      <x:c r="I135" s="12" t="str">
        <x:v>SUNNY SIDE UP EGG MUFFIN (000444)</x:v>
      </x:c>
      <x:c r="J135" s="12" t="str">
        <x:v>No confirmed name match in your file. Possible names may be different recipes, components or portion sizes.</x:v>
      </x:c>
      <x:c r="K135" s="2" t="str">
        <x:v>663c860ff56dc2f9188e7f79</x:v>
      </x:c>
      <x:c r="L135" s="11" t="n">
        <x:v>1</x:v>
      </x:c>
      <x:c r="M135" s="2" t="str">
        <x:v>Piece</x:v>
      </x:c>
    </x:row>
    <x:row r="136" ht="56" customHeight="1">
      <x:c r="A136" s="12" t="str">
        <x:v>Sweet Corn Muffins</x:v>
      </x:c>
      <x:c r="B136" s="12" t="str">
        <x:v>Not matched</x:v>
      </x:c>
      <x:c r="C136" s="9"/>
      <x:c r="D136" s="9"/>
      <x:c r="E136" s="14"/>
      <x:c r="F136" s="12"/>
      <x:c r="G136" s="10"/>
      <x:c r="H136" s="2" t="str">
        <x:v>3e849c</x:v>
      </x:c>
      <x:c r="I136" s="12" t="str">
        <x:v>Corn Muffins (000080); SWEET CORN PANCAKE (000449)</x:v>
      </x:c>
      <x:c r="J136" s="12" t="str">
        <x:v>No confirmed name match in your file. Possible names may be different recipes, components or portion sizes.</x:v>
      </x:c>
      <x:c r="K136" s="2" t="str">
        <x:v>664b4c0964195f895b3b78f2</x:v>
      </x:c>
      <x:c r="L136" s="11" t="n">
        <x:v>76</x:v>
      </x:c>
      <x:c r="M136" s="2" t="str">
        <x:v>Piece</x:v>
      </x:c>
    </x:row>
    <x:row r="137" ht="56" customHeight="1">
      <x:c r="A137" s="12" t="str">
        <x:v>Sweet Potato &amp; Pepper Omellette</x:v>
      </x:c>
      <x:c r="B137" s="12" t="str">
        <x:v>Not matched</x:v>
      </x:c>
      <x:c r="C137" s="9"/>
      <x:c r="D137" s="9"/>
      <x:c r="E137" s="14"/>
      <x:c r="F137" s="12"/>
      <x:c r="G137" s="10"/>
      <x:c r="H137" s="2" t="str">
        <x:v>553871</x:v>
      </x:c>
      <x:c r="I137" s="12" t="str">
        <x:v>SWEET POTATO AND PEPPER OMELETTE (000836)</x:v>
      </x:c>
      <x:c r="J137" s="12" t="str">
        <x:v>No confirmed name match in your file. Possible names may be different recipes, components or portion sizes.</x:v>
      </x:c>
      <x:c r="K137" s="2" t="str">
        <x:v>664efd3e6825d25ac53cbf4e</x:v>
      </x:c>
      <x:c r="L137" s="11" t="n">
        <x:v>12</x:v>
      </x:c>
      <x:c r="M137" s="2" t="str">
        <x:v>Piece</x:v>
      </x:c>
    </x:row>
    <x:row r="138" ht="56" customHeight="1">
      <x:c r="A138" s="12" t="str">
        <x:v>Sweet Potato Muffins</x:v>
      </x:c>
      <x:c r="B138" s="12" t="str">
        <x:v>Not matched</x:v>
      </x:c>
      <x:c r="C138" s="9"/>
      <x:c r="D138" s="9"/>
      <x:c r="E138" s="14"/>
      <x:c r="F138" s="12"/>
      <x:c r="G138" s="10"/>
      <x:c r="H138" s="2" t="str">
        <x:v>4e4115</x:v>
      </x:c>
      <x:c r="I138" s="12" t="str">
        <x:v>SWEET POTATO ENERGY MUFFINS (000452)</x:v>
      </x:c>
      <x:c r="J138" s="12" t="str">
        <x:v>No confirmed name match in your file. Possible names may be different recipes, components or portion sizes.</x:v>
      </x:c>
      <x:c r="K138" s="2" t="str">
        <x:v>68a5e17fb7f13ba5d56b3f16</x:v>
      </x:c>
      <x:c r="L138" s="11" t="n">
        <x:v>42</x:v>
      </x:c>
      <x:c r="M138" s="2" t="str">
        <x:v>Piece</x:v>
      </x:c>
    </x:row>
    <x:row r="139" ht="56" customHeight="1">
      <x:c r="A139" s="12" t="str">
        <x:v>Sweet Potato Pancake</x:v>
      </x:c>
      <x:c r="B139" s="12" t="str">
        <x:v>Not matched</x:v>
      </x:c>
      <x:c r="C139" s="9"/>
      <x:c r="D139" s="9"/>
      <x:c r="E139" s="14"/>
      <x:c r="F139" s="12"/>
      <x:c r="G139" s="10"/>
      <x:c r="H139" s="2" t="str">
        <x:v>055e0f</x:v>
      </x:c>
      <x:c r="I139" s="12" t="str">
        <x:v>SWEET CORN PANCAKE (000449); SWEET POTATO ENERGY MUFFINS (000452)</x:v>
      </x:c>
      <x:c r="J139" s="12" t="str">
        <x:v>No confirmed name match in your file. Possible names may be different recipes, components or portion sizes.</x:v>
      </x:c>
      <x:c r="K139" s="2" t="str">
        <x:v>663cb5a181c1c6f66696013f</x:v>
      </x:c>
      <x:c r="L139" s="11" t="n">
        <x:v>38</x:v>
      </x:c>
      <x:c r="M139" s="2" t="str">
        <x:v>Piece</x:v>
      </x:c>
    </x:row>
    <x:row r="140" ht="56" customHeight="1">
      <x:c r="A140" s="12" t="str">
        <x:v>Tabouli</x:v>
      </x:c>
      <x:c r="B140" s="12" t="str">
        <x:v>Not matched</x:v>
      </x:c>
      <x:c r="C140" s="9"/>
      <x:c r="D140" s="9"/>
      <x:c r="E140" s="14"/>
      <x:c r="F140" s="12"/>
      <x:c r="G140" s="10"/>
      <x:c r="H140" s="2" t="str">
        <x:v>f4abc0</x:v>
      </x:c>
      <x:c r="I140" s="12" t="str"/>
      <x:c r="J140" s="12" t="str">
        <x:v>No confirmed name match in your file. Possible names may be different recipes, components or portion sizes.</x:v>
      </x:c>
      <x:c r="K140" s="2" t="str">
        <x:v>663f1df91b093218296c9955</x:v>
      </x:c>
      <x:c r="L140" s="11" t="n">
        <x:v>4</x:v>
      </x:c>
      <x:c r="M140" s="2" t="str">
        <x:v>Piece</x:v>
      </x:c>
    </x:row>
    <x:row r="141" ht="56" customHeight="1">
      <x:c r="A141" s="12" t="str">
        <x:v>Tahina Baklava Oats</x:v>
      </x:c>
      <x:c r="B141" s="12" t="str">
        <x:v>Not matched</x:v>
      </x:c>
      <x:c r="C141" s="9"/>
      <x:c r="D141" s="9"/>
      <x:c r="E141" s="14"/>
      <x:c r="F141" s="12"/>
      <x:c r="G141" s="10"/>
      <x:c r="H141" s="2" t="str">
        <x:v>3b231b</x:v>
      </x:c>
      <x:c r="I141" s="12" t="str"/>
      <x:c r="J141" s="12" t="str">
        <x:v>No confirmed name match in your file. Possible names may be different recipes, components or portion sizes.</x:v>
      </x:c>
      <x:c r="K141" s="2" t="str">
        <x:v>6a549eaeac3be1438b52c782</x:v>
      </x:c>
      <x:c r="L141" s="11" t="n">
        <x:v>10</x:v>
      </x:c>
      <x:c r="M141" s="2" t="str">
        <x:v>Piece</x:v>
      </x:c>
    </x:row>
    <x:row r="142" ht="56" customHeight="1">
      <x:c r="A142" s="12" t="str">
        <x:v>Tahina Baklava Oats</x:v>
      </x:c>
      <x:c r="B142" s="12" t="str">
        <x:v>Not matched</x:v>
      </x:c>
      <x:c r="C142" s="9"/>
      <x:c r="D142" s="9"/>
      <x:c r="E142" s="14"/>
      <x:c r="F142" s="12"/>
      <x:c r="G142" s="10"/>
      <x:c r="H142" s="2" t="str">
        <x:v>fc5113</x:v>
      </x:c>
      <x:c r="I142" s="12" t="str"/>
      <x:c r="J142" s="12" t="str">
        <x:v>No confirmed name match in your file. Possible names may be different recipes, components or portion sizes.</x:v>
      </x:c>
      <x:c r="K142" s="2" t="str">
        <x:v>6a549f3707018b0c75ae437a</x:v>
      </x:c>
      <x:c r="L142" s="11" t="n">
        <x:v>10</x:v>
      </x:c>
      <x:c r="M142" s="2" t="str">
        <x:v>Piece</x:v>
      </x:c>
    </x:row>
    <x:row r="143" ht="56" customHeight="1">
      <x:c r="A143" s="12" t="str">
        <x:v>Tahini Dates Overnight Oats</x:v>
      </x:c>
      <x:c r="B143" s="12" t="str">
        <x:v>Not matched</x:v>
      </x:c>
      <x:c r="C143" s="9"/>
      <x:c r="D143" s="9"/>
      <x:c r="E143" s="14"/>
      <x:c r="F143" s="12"/>
      <x:c r="G143" s="10"/>
      <x:c r="H143" s="2" t="str">
        <x:v>97e447</x:v>
      </x:c>
      <x:c r="I143" s="12" t="str"/>
      <x:c r="J143" s="12" t="str">
        <x:v>No confirmed name match in your file. Possible names may be different recipes, components or portion sizes.</x:v>
      </x:c>
      <x:c r="K143" s="2" t="str">
        <x:v>6aa788c95bec4fe5aadb459e</x:v>
      </x:c>
      <x:c r="L143" s="11" t="n">
        <x:v>1</x:v>
      </x:c>
      <x:c r="M143" s="2" t="str">
        <x:v>Piece</x:v>
      </x:c>
    </x:row>
    <x:row r="144" ht="56" customHeight="1">
      <x:c r="A144" s="12" t="str">
        <x:v>Tex-Mex Shakshuka Mix</x:v>
      </x:c>
      <x:c r="B144" s="12" t="str">
        <x:v>Not matched</x:v>
      </x:c>
      <x:c r="C144" s="9"/>
      <x:c r="D144" s="9"/>
      <x:c r="E144" s="14"/>
      <x:c r="F144" s="12"/>
      <x:c r="G144" s="10"/>
      <x:c r="H144" s="2" t="str">
        <x:v>eaefee</x:v>
      </x:c>
      <x:c r="I144" s="12" t="str">
        <x:v>TEX-MEX SHAKSHUKA (000824)</x:v>
      </x:c>
      <x:c r="J144" s="12" t="str">
        <x:v>No confirmed name match in your file. Possible names may be different recipes, components or portion sizes.</x:v>
      </x:c>
      <x:c r="K144" s="2" t="str">
        <x:v>6641ce49bce341cb70bc1150</x:v>
      </x:c>
      <x:c r="L144" s="11" t="n">
        <x:v>35</x:v>
      </x:c>
      <x:c r="M144" s="2" t="str">
        <x:v>Piece</x:v>
      </x:c>
    </x:row>
    <x:row r="145" ht="56" customHeight="1">
      <x:c r="A145" s="12" t="str">
        <x:v>Waffle Base</x:v>
      </x:c>
      <x:c r="B145" s="12" t="str">
        <x:v>Not matched</x:v>
      </x:c>
      <x:c r="C145" s="9"/>
      <x:c r="D145" s="9"/>
      <x:c r="E145" s="14"/>
      <x:c r="F145" s="12"/>
      <x:c r="G145" s="10"/>
      <x:c r="H145" s="2" t="str">
        <x:v>6fec52</x:v>
      </x:c>
      <x:c r="I145" s="12" t="str">
        <x:v>WAFFLES (000076)</x:v>
      </x:c>
      <x:c r="J145" s="12" t="str">
        <x:v>No confirmed name match in your file. Possible names may be different recipes, components or portion sizes.</x:v>
      </x:c>
      <x:c r="K145" s="2" t="str">
        <x:v>663cc801dfa45d33ea9eb8cf</x:v>
      </x:c>
      <x:c r="L145" s="11" t="n">
        <x:v>3</x:v>
      </x:c>
      <x:c r="M145" s="2" t="str">
        <x:v>Piece</x:v>
      </x:c>
    </x:row>
    <x:row r="146" ht="56" customHeight="1">
      <x:c r="A146" s="12" t="str">
        <x:v>Waffle w/ Chili Chocolate Sauce</x:v>
      </x:c>
      <x:c r="B146" s="12" t="str">
        <x:v>Not matched</x:v>
      </x:c>
      <x:c r="C146" s="9"/>
      <x:c r="D146" s="9"/>
      <x:c r="E146" s="14"/>
      <x:c r="F146" s="12"/>
      <x:c r="G146" s="10"/>
      <x:c r="H146" s="2" t="str">
        <x:v>e79e30</x:v>
      </x:c>
      <x:c r="I146" s="12" t="str">
        <x:v>CHOCOLATE WAFFLE (000097)</x:v>
      </x:c>
      <x:c r="J146" s="12" t="str">
        <x:v>No confirmed name match in your file. Possible names may be different recipes, components or portion sizes.</x:v>
      </x:c>
      <x:c r="K146" s="2" t="str">
        <x:v>663ccc97f56dc2f9188eec06</x:v>
      </x:c>
      <x:c r="L146" s="11" t="n">
        <x:v>1</x:v>
      </x:c>
      <x:c r="M146" s="2" t="str">
        <x:v>Piece</x:v>
      </x:c>
    </x:row>
    <x:row r="147" ht="56" customHeight="1">
      <x:c r="A147" s="12" t="str">
        <x:v>Zaatar Scramble Egg</x:v>
      </x:c>
      <x:c r="B147" s="12" t="str">
        <x:v>Not matched</x:v>
      </x:c>
      <x:c r="C147" s="9"/>
      <x:c r="D147" s="9"/>
      <x:c r="E147" s="14"/>
      <x:c r="F147" s="12"/>
      <x:c r="G147" s="10"/>
      <x:c r="H147" s="2" t="str">
        <x:v>389900</x:v>
      </x:c>
      <x:c r="I147" s="12" t="str"/>
      <x:c r="J147" s="12" t="str">
        <x:v>No confirmed name match in your file. Possible names may be different recipes, components or portion sizes.</x:v>
      </x:c>
      <x:c r="K147" s="2" t="str">
        <x:v>697f78b4df20d2f77d2e42bb</x:v>
      </x:c>
      <x:c r="L147" s="11" t="n">
        <x:v>1</x:v>
      </x:c>
      <x:c r="M147" s="2" t="str">
        <x:v>Piece</x:v>
      </x:c>
    </x:row>
    <x:row r="148" ht="56" customHeight="1">
      <x:c r="A148" s="12" t="str">
        <x:v>Zucchini Balls</x:v>
      </x:c>
      <x:c r="B148" s="12" t="str">
        <x:v>Not matched</x:v>
      </x:c>
      <x:c r="C148" s="9"/>
      <x:c r="D148" s="9"/>
      <x:c r="E148" s="14"/>
      <x:c r="F148" s="12"/>
      <x:c r="G148" s="10"/>
      <x:c r="H148" s="2" t="str">
        <x:v>723780</x:v>
      </x:c>
      <x:c r="I148" s="12" t="str">
        <x:v>ZUCCHINI BALLS AND SAUSAGE (000450)</x:v>
      </x:c>
      <x:c r="J148" s="12" t="str">
        <x:v>No confirmed name match in your file. Possible names may be different recipes, components or portion sizes.</x:v>
      </x:c>
      <x:c r="K148" s="2" t="str">
        <x:v>664deb6decb1848d3e98c324</x:v>
      </x:c>
      <x:c r="L148" s="11" t="n">
        <x:v>5.37</x:v>
      </x:c>
      <x:c r="M148" s="2" t="str">
        <x:v>Piece</x:v>
      </x:c>
    </x:row>
  </x:sheetData>
  <x:conditionalFormatting sqref="B10:B148">
    <x:cfRule type="containsText" dxfId="0" priority="1" operator="containsText" text="Name variant"/>
    <x:cfRule type="containsText" dxfId="1" priority="2" operator="containsText" text="Not matched"/>
    <x:cfRule type="containsText" dxfId="2" priority="3" operator="containsText" text="Conflicting"/>
    <x:cfRule type="containsText" dxfId="3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23e2fbf3ade84ddc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48" hidden="0" customWidth="1"/>
    <x:col min="4" max="4" width="15" hidden="0" customWidth="1"/>
    <x:col min="5" max="5" width="100" hidden="0" customWidth="1"/>
    <x:col min="6" max="6" width="12" hidden="0" customWidth="1"/>
    <x:col min="7" max="7" width="12" hidden="0" customWidth="1"/>
    <x:col min="8" max="8" width="12" hidden="0" customWidth="1"/>
    <x:col min="9" max="9" width="50" hidden="0" customWidth="1"/>
    <x:col min="10" max="10" width="30" hidden="0" customWidth="1"/>
    <x:col min="11" max="11" width="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4" t="str">
        <x:v>Your supplied breakfast macro list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Source: Meals List 10-26-2026.xls. All 136 Breakfast records are retained with original meal numbers, names, ingredients and C/P/F.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4" customHeight="1">
      <x:c r="A4" s="6" t="str">
        <x:v>The file does not specify serving sizes. Labels such as (L) are preserved and must not be assumed equal to a standard recipe.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4" customHeight="1">
      <x:c r="A5" s="6" t="str">
        <x:v>Some file breakfasts are categorized differently in Supy. Column K lists related recipes outside the Breakfast category.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 ht="24" customHeight="1">
      <x:c r="A6" s="7" t="str">
        <x:v>File records</x:v>
      </x:c>
      <x:c r="B6" s="7" t="n">
        <x:f>COUNTA(C10:C145)</x:f>
        <x:v>136</x:v>
      </x:c>
      <x:c r="C6" s="7"/>
      <x:c r="D6" s="7" t="str">
        <x:v>Matched records</x:v>
      </x:c>
      <x:c r="E6" s="7"/>
      <x:c r="F6" s="7" t="n">
        <x:f>COUNTIFS(J10:J145,"Matched to Supy breakfast")</x:f>
        <x:v>40</x:v>
      </x:c>
      <x:c r="G6" s="7"/>
      <x:c r="H6" s="7"/>
      <x:c r="I6" s="7" t="str">
        <x:v>Other / unmatched</x:v>
      </x:c>
      <x:c r="J6" s="7" t="n">
        <x:f>B6-F6</x:f>
        <x:v>96</x:v>
      </x:c>
      <x:c r="K6" s="7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40" customHeight="1">
      <x:c r="A9" s="21" t="str">
        <x:v>Record #</x:v>
      </x:c>
      <x:c r="B9" s="21" t="str">
        <x:v>Meal number</x:v>
      </x:c>
      <x:c r="C9" s="21" t="str">
        <x:v>Breakfast name</x:v>
      </x:c>
      <x:c r="D9" s="21" t="str">
        <x:v>Meal type</x:v>
      </x:c>
      <x:c r="E9" s="21" t="str">
        <x:v>Ingredients</x:v>
      </x:c>
      <x:c r="F9" s="21" t="str">
        <x:v>Carbs (C)</x:v>
      </x:c>
      <x:c r="G9" s="21" t="str">
        <x:v>Protein (P)</x:v>
      </x:c>
      <x:c r="H9" s="21" t="str">
        <x:v>Fat (F)</x:v>
      </x:c>
      <x:c r="I9" s="21" t="str">
        <x:v>Supy Breakfast names</x:v>
      </x:c>
      <x:c r="J9" s="21" t="str">
        <x:v>Match status</x:v>
      </x:c>
      <x:c r="K9" s="21" t="str">
        <x:v>Related Supy recipes in other categories</x:v>
      </x:c>
    </x:row>
    <x:row r="10" ht="66" customHeight="1">
      <x:c r="A10" s="2" t="n">
        <x:v>1</x:v>
      </x:c>
      <x:c r="B10" s="10" t="str">
        <x:v>000071</x:v>
      </x:c>
      <x:c r="C10" s="12" t="str">
        <x:v>Blueberry Oats</x:v>
      </x:c>
      <x:c r="D10" s="2" t="str">
        <x:v>Breakfast</x:v>
      </x:c>
      <x:c r="E10" s="12" t="str">
        <x:v>Oats, Blueberry, Almond Milk, Brown Sugar, Honey, Kiwi, Black Grapes, Protein Powder</x:v>
      </x:c>
      <x:c r="F10" s="8" t="n">
        <x:v>42</x:v>
      </x:c>
      <x:c r="G10" s="8" t="n">
        <x:v>35</x:v>
      </x:c>
      <x:c r="H10" s="8" t="n">
        <x:v>18</x:v>
      </x:c>
      <x:c r="I10" s="12" t="str">
        <x:v>Blueberry Oats</x:v>
      </x:c>
      <x:c r="J10" s="12" t="str">
        <x:v>Matched to Supy breakfast</x:v>
      </x:c>
      <x:c r="K10" s="12" t="str">
        <x:v>Blueberry Oats (uncategorized)</x:v>
      </x:c>
    </x:row>
    <x:row r="11" ht="66" customHeight="1">
      <x:c r="A11" s="2" t="n">
        <x:v>2</x:v>
      </x:c>
      <x:c r="B11" s="10" t="str">
        <x:v>000072</x:v>
      </x:c>
      <x:c r="C11" s="12" t="str">
        <x:v>Chocolate Oatmeal</x:v>
      </x:c>
      <x:c r="D11" s="2" t="str">
        <x:v>Breakfast</x:v>
      </x:c>
      <x:c r="E11" s="12" t="str">
        <x:v>Oats, Cocoa, Almond Milk, Brown Sugar, Honey, Strawberry, Rock Melon, Protein Powder</x:v>
      </x:c>
      <x:c r="F11" s="8" t="n">
        <x:v>45</x:v>
      </x:c>
      <x:c r="G11" s="8" t="n">
        <x:v>35</x:v>
      </x:c>
      <x:c r="H11" s="8" t="n">
        <x:v>18</x:v>
      </x:c>
      <x:c r="I11" s="12" t="str"/>
      <x:c r="J11" s="12" t="str">
        <x:v>No Supy name match</x:v>
      </x:c>
      <x:c r="K11" s="12" t="str"/>
    </x:row>
    <x:row r="12" ht="66" customHeight="1">
      <x:c r="A12" s="2" t="n">
        <x:v>3</x:v>
      </x:c>
      <x:c r="B12" s="10" t="str">
        <x:v>000073</x:v>
      </x:c>
      <x:c r="C12" s="12" t="str">
        <x:v>Banana Oat Cake</x:v>
      </x:c>
      <x:c r="D12" s="2" t="str">
        <x:v>Breakfast</x:v>
      </x:c>
      <x:c r="E12" s="12" t="str">
        <x:v>Oats, Banana, Egg, Cinnamon, Protein Powder, Brown Sugar</x:v>
      </x:c>
      <x:c r="F12" s="8" t="n">
        <x:v>45</x:v>
      </x:c>
      <x:c r="G12" s="8" t="n">
        <x:v>33</x:v>
      </x:c>
      <x:c r="H12" s="8" t="n">
        <x:v>15</x:v>
      </x:c>
      <x:c r="I12" s="12" t="str"/>
      <x:c r="J12" s="12" t="str">
        <x:v>No Supy name match</x:v>
      </x:c>
      <x:c r="K12" s="12" t="str"/>
    </x:row>
    <x:row r="13" ht="66" customHeight="1">
      <x:c r="A13" s="2" t="n">
        <x:v>4</x:v>
      </x:c>
      <x:c r="B13" s="10" t="str">
        <x:v>000075</x:v>
      </x:c>
      <x:c r="C13" s="12" t="str">
        <x:v>Pancake</x:v>
      </x:c>
      <x:c r="D13" s="2" t="str">
        <x:v>Breakfast</x:v>
      </x:c>
      <x:c r="E13" s="12" t="str">
        <x:v>Egg, Banana, Oats, Cinnamon, Protein Powder, Brown Sugar</x:v>
      </x:c>
      <x:c r="F13" s="8" t="n">
        <x:v>40</x:v>
      </x:c>
      <x:c r="G13" s="8" t="n">
        <x:v>32</x:v>
      </x:c>
      <x:c r="H13" s="8" t="n">
        <x:v>16</x:v>
      </x:c>
      <x:c r="I13" s="12" t="str"/>
      <x:c r="J13" s="12" t="str">
        <x:v>No Supy name match</x:v>
      </x:c>
      <x:c r="K13" s="12" t="str"/>
    </x:row>
    <x:row r="14" ht="66" customHeight="1">
      <x:c r="A14" s="2" t="n">
        <x:v>5</x:v>
      </x:c>
      <x:c r="B14" s="10" t="str">
        <x:v>000076</x:v>
      </x:c>
      <x:c r="C14" s="12" t="str">
        <x:v>WAFFLES</x:v>
      </x:c>
      <x:c r="D14" s="2" t="str">
        <x:v>Breakfast</x:v>
      </x:c>
      <x:c r="E14" s="12" t="str">
        <x:v>Egg, Almond Milk, Banana, Oats, Cinnamon, Gluten Free Flour, Protein Powder, Brown Sugar</x:v>
      </x:c>
      <x:c r="F14" s="8" t="n">
        <x:v>31</x:v>
      </x:c>
      <x:c r="G14" s="8" t="n">
        <x:v>24</x:v>
      </x:c>
      <x:c r="H14" s="8" t="n">
        <x:v>18</x:v>
      </x:c>
      <x:c r="I14" s="12" t="str"/>
      <x:c r="J14" s="12" t="str">
        <x:v>No Supy name match</x:v>
      </x:c>
      <x:c r="K14" s="12" t="str"/>
    </x:row>
    <x:row r="15" ht="66" customHeight="1">
      <x:c r="A15" s="2" t="n">
        <x:v>6</x:v>
      </x:c>
      <x:c r="B15" s="10" t="str">
        <x:v>000080</x:v>
      </x:c>
      <x:c r="C15" s="12" t="str">
        <x:v>Corn Muffins</x:v>
      </x:c>
      <x:c r="D15" s="2" t="str">
        <x:v>Breakfast</x:v>
      </x:c>
      <x:c r="E15" s="12" t="str">
        <x:v>Corn Flour, Butter, Egg, Brown Sugar, Protein Powder, Corn, Almond Milk</x:v>
      </x:c>
      <x:c r="F15" s="8" t="n">
        <x:v>35</x:v>
      </x:c>
      <x:c r="G15" s="8" t="n">
        <x:v>30</x:v>
      </x:c>
      <x:c r="H15" s="8" t="n">
        <x:v>18</x:v>
      </x:c>
      <x:c r="I15" s="12" t="str"/>
      <x:c r="J15" s="12" t="str">
        <x:v>No Supy name match</x:v>
      </x:c>
      <x:c r="K15" s="12" t="str"/>
    </x:row>
    <x:row r="16" ht="66" customHeight="1">
      <x:c r="A16" s="2" t="n">
        <x:v>7</x:v>
      </x:c>
      <x:c r="B16" s="10" t="str">
        <x:v>000082</x:v>
      </x:c>
      <x:c r="C16" s="12" t="str">
        <x:v>Blueberry Muffins</x:v>
      </x:c>
      <x:c r="D16" s="2" t="str">
        <x:v>Breakfast</x:v>
      </x:c>
      <x:c r="E16" s="12" t="str">
        <x:v>Egg, Apple, Vanilla, Blueberry, Brown Sugar, Almond Milk, Protein Powder</x:v>
      </x:c>
      <x:c r="F16" s="8" t="n">
        <x:v>32</x:v>
      </x:c>
      <x:c r="G16" s="8" t="n">
        <x:v>30</x:v>
      </x:c>
      <x:c r="H16" s="8" t="n">
        <x:v>16</x:v>
      </x:c>
      <x:c r="I16" s="12" t="str"/>
      <x:c r="J16" s="12" t="str">
        <x:v>Other Supy categories only</x:v>
      </x:c>
      <x:c r="K16" s="12" t="str">
        <x:v>Blueberry Muffins (uncategorized); Blueberry Muffins (Snacks)</x:v>
      </x:c>
    </x:row>
    <x:row r="17" ht="66" customHeight="1">
      <x:c r="A17" s="2" t="n">
        <x:v>8</x:v>
      </x:c>
      <x:c r="B17" s="10" t="str">
        <x:v>000083</x:v>
      </x:c>
      <x:c r="C17" s="12" t="str">
        <x:v>Muffins</x:v>
      </x:c>
      <x:c r="D17" s="2" t="str">
        <x:v>Breakfast</x:v>
      </x:c>
      <x:c r="E17" s="12" t="str">
        <x:v>Coconut, Butter, Coconut Milk, Honey, Salt, Egg, Vanilla, Orange, Protein Powder</x:v>
      </x:c>
      <x:c r="F17" s="8" t="n">
        <x:v>33</x:v>
      </x:c>
      <x:c r="G17" s="8" t="n">
        <x:v>22</x:v>
      </x:c>
      <x:c r="H17" s="8" t="n">
        <x:v>16</x:v>
      </x:c>
      <x:c r="I17" s="12" t="str"/>
      <x:c r="J17" s="12" t="str">
        <x:v>No Supy name match</x:v>
      </x:c>
      <x:c r="K17" s="12" t="str"/>
    </x:row>
    <x:row r="18" ht="66" customHeight="1">
      <x:c r="A18" s="2" t="n">
        <x:v>9</x:v>
      </x:c>
      <x:c r="B18" s="10" t="str">
        <x:v>000084</x:v>
      </x:c>
      <x:c r="C18" s="12" t="str">
        <x:v>OATMEAL</x:v>
      </x:c>
      <x:c r="D18" s="2" t="str">
        <x:v>Breakfast</x:v>
      </x:c>
      <x:c r="E18" s="12" t="str">
        <x:v>Oats, Blueberry, Almond Milk, Honey, Brown Sugar, Grapes, Protein Powder</x:v>
      </x:c>
      <x:c r="F18" s="8" t="n">
        <x:v>41</x:v>
      </x:c>
      <x:c r="G18" s="8" t="n">
        <x:v>29</x:v>
      </x:c>
      <x:c r="H18" s="8" t="n">
        <x:v>14</x:v>
      </x:c>
      <x:c r="I18" s="12" t="str"/>
      <x:c r="J18" s="12" t="str">
        <x:v>No Supy name match</x:v>
      </x:c>
      <x:c r="K18" s="12" t="str"/>
    </x:row>
    <x:row r="19" ht="66" customHeight="1">
      <x:c r="A19" s="2" t="n">
        <x:v>10</x:v>
      </x:c>
      <x:c r="B19" s="10" t="str">
        <x:v>000085</x:v>
      </x:c>
      <x:c r="C19" s="12" t="str">
        <x:v>Garlicky Egg</x:v>
      </x:c>
      <x:c r="D19" s="2" t="str">
        <x:v>Breakfast</x:v>
      </x:c>
      <x:c r="E19" s="12" t="str">
        <x:v>Egg, Pokschoy, Leeks, Spinach, Salt, Kale, Garlic, Tomato, Boiled Egg</x:v>
      </x:c>
      <x:c r="F19" s="8" t="n">
        <x:v>31</x:v>
      </x:c>
      <x:c r="G19" s="8" t="n">
        <x:v>22</x:v>
      </x:c>
      <x:c r="H19" s="8" t="n">
        <x:v>18</x:v>
      </x:c>
      <x:c r="I19" s="12" t="str"/>
      <x:c r="J19" s="12" t="str">
        <x:v>No Supy name match</x:v>
      </x:c>
      <x:c r="K19" s="12" t="str"/>
    </x:row>
    <x:row r="20" ht="66" customHeight="1">
      <x:c r="A20" s="2" t="n">
        <x:v>11</x:v>
      </x:c>
      <x:c r="B20" s="10" t="str">
        <x:v>000086</x:v>
      </x:c>
      <x:c r="C20" s="12" t="str">
        <x:v>Raspberry Cake (egg inside)</x:v>
      </x:c>
      <x:c r="D20" s="2" t="str">
        <x:v>Breakfast</x:v>
      </x:c>
      <x:c r="E20" s="12" t="str">
        <x:v>Egg, Grapes, Dragon Fruit, Oats, Raspberry, Protein Powder, Brown Sugar</x:v>
      </x:c>
      <x:c r="F20" s="8" t="n">
        <x:v>38</x:v>
      </x:c>
      <x:c r="G20" s="8" t="n">
        <x:v>35</x:v>
      </x:c>
      <x:c r="H20" s="8" t="n">
        <x:v>19</x:v>
      </x:c>
      <x:c r="I20" s="12" t="str"/>
      <x:c r="J20" s="12" t="str">
        <x:v>No Supy name match</x:v>
      </x:c>
      <x:c r="K20" s="12" t="str"/>
    </x:row>
    <x:row r="21" ht="66" customHeight="1">
      <x:c r="A21" s="2" t="n">
        <x:v>12</x:v>
      </x:c>
      <x:c r="B21" s="10" t="str">
        <x:v>000087</x:v>
      </x:c>
      <x:c r="C21" s="12" t="str">
        <x:v>SCRAMBLED EGGS</x:v>
      </x:c>
      <x:c r="D21" s="2" t="str">
        <x:v>Breakfast</x:v>
      </x:c>
      <x:c r="E21" s="12" t="str">
        <x:v>Spinach, Lollo Rosso, Lollo Biando, Kale, Lettuce, Egg, Potato</x:v>
      </x:c>
      <x:c r="F21" s="8" t="n">
        <x:v>30</x:v>
      </x:c>
      <x:c r="G21" s="8" t="n">
        <x:v>28</x:v>
      </x:c>
      <x:c r="H21" s="8" t="n">
        <x:v>14</x:v>
      </x:c>
      <x:c r="I21" s="12" t="str"/>
      <x:c r="J21" s="12" t="str">
        <x:v>No Supy name match</x:v>
      </x:c>
      <x:c r="K21" s="12" t="str"/>
    </x:row>
    <x:row r="22" ht="66" customHeight="1">
      <x:c r="A22" s="2" t="n">
        <x:v>13</x:v>
      </x:c>
      <x:c r="B22" s="10" t="str">
        <x:v>000088</x:v>
      </x:c>
      <x:c r="C22" s="12" t="str">
        <x:v>Herbed Egg with Potato and Tomato</x:v>
      </x:c>
      <x:c r="D22" s="2" t="str">
        <x:v>Breakfast</x:v>
      </x:c>
      <x:c r="E22" s="12" t="str">
        <x:v>Egg, Potato, Cherry Tomato, Parsley, Spring Onion</x:v>
      </x:c>
      <x:c r="F22" s="8" t="n">
        <x:v>31</x:v>
      </x:c>
      <x:c r="G22" s="8" t="n">
        <x:v>28</x:v>
      </x:c>
      <x:c r="H22" s="8" t="n">
        <x:v>22</x:v>
      </x:c>
      <x:c r="I22" s="12" t="str"/>
      <x:c r="J22" s="12" t="str">
        <x:v>No Supy name match</x:v>
      </x:c>
      <x:c r="K22" s="12" t="str"/>
    </x:row>
    <x:row r="23" ht="66" customHeight="1">
      <x:c r="A23" s="2" t="n">
        <x:v>14</x:v>
      </x:c>
      <x:c r="B23" s="10" t="str">
        <x:v>000089</x:v>
      </x:c>
      <x:c r="C23" s="12" t="str">
        <x:v>EGG SHAKSHUKA</x:v>
      </x:c>
      <x:c r="D23" s="2" t="str">
        <x:v>Breakfast</x:v>
      </x:c>
      <x:c r="E23" s="12" t="str">
        <x:v>Egg, Tomato, Onion, Garlic, Capsicum, Parsley, Boiled Egg</x:v>
      </x:c>
      <x:c r="F23" s="8" t="n">
        <x:v>35</x:v>
      </x:c>
      <x:c r="G23" s="8" t="n">
        <x:v>21</x:v>
      </x:c>
      <x:c r="H23" s="8" t="n">
        <x:v>18</x:v>
      </x:c>
      <x:c r="I23" s="12" t="str"/>
      <x:c r="J23" s="12" t="str">
        <x:v>No Supy name match</x:v>
      </x:c>
      <x:c r="K23" s="12" t="str"/>
    </x:row>
    <x:row r="24" ht="66" customHeight="1">
      <x:c r="A24" s="2" t="n">
        <x:v>15</x:v>
      </x:c>
      <x:c r="B24" s="10" t="str">
        <x:v>000091</x:v>
      </x:c>
      <x:c r="C24" s="12" t="str">
        <x:v>EGG TORTILLA</x:v>
      </x:c>
      <x:c r="D24" s="2" t="str">
        <x:v>Breakfast</x:v>
      </x:c>
      <x:c r="E24" s="12" t="str">
        <x:v>Egg, Capsicum, Tomato, Onion, Zucchini, Mushroom, Salt, Bread, Gluten, Dairy</x:v>
      </x:c>
      <x:c r="F24" s="8" t="n">
        <x:v>31</x:v>
      </x:c>
      <x:c r="G24" s="8" t="n">
        <x:v>24</x:v>
      </x:c>
      <x:c r="H24" s="8" t="n">
        <x:v>19</x:v>
      </x:c>
      <x:c r="I24" s="12" t="str"/>
      <x:c r="J24" s="12" t="str">
        <x:v>No Supy name match</x:v>
      </x:c>
      <x:c r="K24" s="12" t="str"/>
    </x:row>
    <x:row r="25" ht="66" customHeight="1">
      <x:c r="A25" s="2" t="n">
        <x:v>16</x:v>
      </x:c>
      <x:c r="B25" s="10" t="str">
        <x:v>000093</x:v>
      </x:c>
      <x:c r="C25" s="12" t="str">
        <x:v>RICHMANS BREAKFAST</x:v>
      </x:c>
      <x:c r="D25" s="2" t="str">
        <x:v>Breakfast</x:v>
      </x:c>
      <x:c r="E25" s="12" t="str">
        <x:v>Egg, Bacon, Potato, Sausage, Beans, Parmesan Cheese, Red Meat, Dairy</x:v>
      </x:c>
      <x:c r="F25" s="8" t="n">
        <x:v>32</x:v>
      </x:c>
      <x:c r="G25" s="8" t="n">
        <x:v>28</x:v>
      </x:c>
      <x:c r="H25" s="8" t="n">
        <x:v>21</x:v>
      </x:c>
      <x:c r="I25" s="12" t="str">
        <x:v>Richman's Breakfast</x:v>
      </x:c>
      <x:c r="J25" s="12" t="str">
        <x:v>Matched to Supy breakfast</x:v>
      </x:c>
      <x:c r="K25" s="12" t="str">
        <x:v>Richman's Breakfast (uncategorized)</x:v>
      </x:c>
    </x:row>
    <x:row r="26" ht="66" customHeight="1">
      <x:c r="A26" s="2" t="n">
        <x:v>17</x:v>
      </x:c>
      <x:c r="B26" s="10" t="str">
        <x:v>000094</x:v>
      </x:c>
      <x:c r="C26" s="12" t="str">
        <x:v>Strawberry Pudding</x:v>
      </x:c>
      <x:c r="D26" s="2" t="str">
        <x:v>Breakfast</x:v>
      </x:c>
      <x:c r="E26" s="12" t="str">
        <x:v>Egg, Gluten Free Flour, Brown Sugar, Protein Powder, Almond Milk, Vanilla, Butter, Strawberry</x:v>
      </x:c>
      <x:c r="F26" s="8" t="n">
        <x:v>34</x:v>
      </x:c>
      <x:c r="G26" s="8" t="n">
        <x:v>32</x:v>
      </x:c>
      <x:c r="H26" s="8" t="n">
        <x:v>18</x:v>
      </x:c>
      <x:c r="I26" s="12" t="str"/>
      <x:c r="J26" s="12" t="str">
        <x:v>No Supy name match</x:v>
      </x:c>
      <x:c r="K26" s="12" t="str"/>
    </x:row>
    <x:row r="27" ht="66" customHeight="1">
      <x:c r="A27" s="2" t="n">
        <x:v>18</x:v>
      </x:c>
      <x:c r="B27" s="10" t="str">
        <x:v>000095</x:v>
      </x:c>
      <x:c r="C27" s="12" t="str">
        <x:v>RASPBERRY WAFFLE</x:v>
      </x:c>
      <x:c r="D27" s="2" t="str">
        <x:v>Breakfast</x:v>
      </x:c>
      <x:c r="E27" s="12" t="str">
        <x:v>Egg, Oats, Raspberry, Almond Milk, Protein Powder, Brown Sugar, Gluten Free Flour</x:v>
      </x:c>
      <x:c r="F27" s="8" t="n">
        <x:v>32</x:v>
      </x:c>
      <x:c r="G27" s="8" t="n">
        <x:v>24</x:v>
      </x:c>
      <x:c r="H27" s="8" t="n">
        <x:v>16</x:v>
      </x:c>
      <x:c r="I27" s="12" t="str">
        <x:v>Raspberry Waffle</x:v>
      </x:c>
      <x:c r="J27" s="12" t="str">
        <x:v>Matched to Supy breakfast</x:v>
      </x:c>
      <x:c r="K27" s="12" t="str">
        <x:v>Raspberry Waffle (uncategorized)</x:v>
      </x:c>
    </x:row>
    <x:row r="28" ht="66" customHeight="1">
      <x:c r="A28" s="2" t="n">
        <x:v>19</x:v>
      </x:c>
      <x:c r="B28" s="10" t="str">
        <x:v>000096</x:v>
      </x:c>
      <x:c r="C28" s="12" t="str">
        <x:v>Blueberry Waffle</x:v>
      </x:c>
      <x:c r="D28" s="2" t="str">
        <x:v>Breakfast</x:v>
      </x:c>
      <x:c r="E28" s="12" t="str">
        <x:v>Egg, Oats, Blueberry, Almond Milk, Protein Powder, Brown Sugar, Gluten Free Flour</x:v>
      </x:c>
      <x:c r="F28" s="8" t="n">
        <x:v>40</x:v>
      </x:c>
      <x:c r="G28" s="8" t="n">
        <x:v>30</x:v>
      </x:c>
      <x:c r="H28" s="8" t="n">
        <x:v>16</x:v>
      </x:c>
      <x:c r="I28" s="12" t="str"/>
      <x:c r="J28" s="12" t="str">
        <x:v>No Supy name match</x:v>
      </x:c>
      <x:c r="K28" s="12" t="str"/>
    </x:row>
    <x:row r="29" ht="66" customHeight="1">
      <x:c r="A29" s="2" t="n">
        <x:v>20</x:v>
      </x:c>
      <x:c r="B29" s="10" t="str">
        <x:v>000097</x:v>
      </x:c>
      <x:c r="C29" s="12" t="str">
        <x:v>CHOCOLATE WAFFLE</x:v>
      </x:c>
      <x:c r="D29" s="2" t="str">
        <x:v>Breakfast</x:v>
      </x:c>
      <x:c r="E29" s="12" t="str">
        <x:v>Egg, Oats, Cocoa, Almond Milk, Protein Powder, Brown Sugar, Gluten Free Flour</x:v>
      </x:c>
      <x:c r="F29" s="8" t="n">
        <x:v>42</x:v>
      </x:c>
      <x:c r="G29" s="8" t="n">
        <x:v>22</x:v>
      </x:c>
      <x:c r="H29" s="8" t="n">
        <x:v>18</x:v>
      </x:c>
      <x:c r="I29" s="12" t="str"/>
      <x:c r="J29" s="12" t="str">
        <x:v>No Supy name match</x:v>
      </x:c>
      <x:c r="K29" s="12" t="str"/>
    </x:row>
    <x:row r="30" ht="66" customHeight="1">
      <x:c r="A30" s="2" t="n">
        <x:v>21</x:v>
      </x:c>
      <x:c r="B30" s="10" t="str">
        <x:v>000122</x:v>
      </x:c>
      <x:c r="C30" s="12" t="str">
        <x:v>BAKED EGG AND VEG</x:v>
      </x:c>
      <x:c r="D30" s="2" t="str">
        <x:v>Breakfast</x:v>
      </x:c>
      <x:c r="E30" s="12" t="str">
        <x:v>Egg, Zucchini, Capsicum, Mushroom, Cucumber, Olives, Lollo Rosso, Lollo Biando, Kale, Sweet Potato, Sesame</x:v>
      </x:c>
      <x:c r="F30" s="8" t="n">
        <x:v>36</x:v>
      </x:c>
      <x:c r="G30" s="8" t="n">
        <x:v>24</x:v>
      </x:c>
      <x:c r="H30" s="8" t="n">
        <x:v>18</x:v>
      </x:c>
      <x:c r="I30" s="12" t="str">
        <x:v>Baked Egg &amp; Veg</x:v>
      </x:c>
      <x:c r="J30" s="12" t="str">
        <x:v>Matched to Supy breakfast</x:v>
      </x:c>
      <x:c r="K30" s="12" t="str">
        <x:v>Baked Egg &amp; Veg (uncategorized)</x:v>
      </x:c>
    </x:row>
    <x:row r="31" ht="66" customHeight="1">
      <x:c r="A31" s="2" t="n">
        <x:v>22</x:v>
      </x:c>
      <x:c r="B31" s="10" t="str">
        <x:v>000165</x:v>
      </x:c>
      <x:c r="C31" s="12" t="str">
        <x:v>Carrot Cake Oat Pot</x:v>
      </x:c>
      <x:c r="D31" s="2" t="str">
        <x:v>Breakfast</x:v>
      </x:c>
      <x:c r="E31" s="12" t="str">
        <x:v>All Nuts, Oats, Honey, Almond, Almond Milk, Carrot, Sugar, Coconut, Cinnamon</x:v>
      </x:c>
      <x:c r="F31" s="8" t="n">
        <x:v>35</x:v>
      </x:c>
      <x:c r="G31" s="8" t="n">
        <x:v>28</x:v>
      </x:c>
      <x:c r="H31" s="8" t="n">
        <x:v>14</x:v>
      </x:c>
      <x:c r="I31" s="12" t="str"/>
      <x:c r="J31" s="12" t="str">
        <x:v>No Supy name match</x:v>
      </x:c>
      <x:c r="K31" s="12" t="str"/>
    </x:row>
    <x:row r="32" ht="66" customHeight="1">
      <x:c r="A32" s="2" t="n">
        <x:v>23</x:v>
      </x:c>
      <x:c r="B32" s="10" t="str">
        <x:v>000225</x:v>
      </x:c>
      <x:c r="C32" s="12" t="str">
        <x:v>BAKED OATMEAL WITH CHOCOLATE</x:v>
      </x:c>
      <x:c r="D32" s="2" t="str">
        <x:v>Breakfast</x:v>
      </x:c>
      <x:c r="E32" s="12" t="str">
        <x:v>Oats, Cocoa, Banana, Avacado, Almond Milk, Honey, All Fruits, Protein Powder</x:v>
      </x:c>
      <x:c r="F32" s="8" t="n">
        <x:v>42</x:v>
      </x:c>
      <x:c r="G32" s="8" t="n">
        <x:v>29</x:v>
      </x:c>
      <x:c r="H32" s="8" t="n">
        <x:v>14</x:v>
      </x:c>
      <x:c r="I32" s="12" t="str"/>
      <x:c r="J32" s="12" t="str">
        <x:v>No Supy name match</x:v>
      </x:c>
      <x:c r="K32" s="12" t="str"/>
    </x:row>
    <x:row r="33" ht="66" customHeight="1">
      <x:c r="A33" s="2" t="n">
        <x:v>24</x:v>
      </x:c>
      <x:c r="B33" s="10" t="str">
        <x:v>000226</x:v>
      </x:c>
      <x:c r="C33" s="12" t="str">
        <x:v>BANANA WAFFLES</x:v>
      </x:c>
      <x:c r="D33" s="2" t="str">
        <x:v>Breakfast</x:v>
      </x:c>
      <x:c r="E33" s="12" t="str">
        <x:v>Gluten Free Flour, Egg, Cinnamon, Almond Milk, Banana, Protein Powder, All Fruits, Sugar</x:v>
      </x:c>
      <x:c r="F33" s="8" t="n">
        <x:v>40</x:v>
      </x:c>
      <x:c r="G33" s="8" t="n">
        <x:v>30</x:v>
      </x:c>
      <x:c r="H33" s="8" t="n">
        <x:v>16</x:v>
      </x:c>
      <x:c r="I33" s="12" t="str"/>
      <x:c r="J33" s="12" t="str">
        <x:v>No Supy name match</x:v>
      </x:c>
      <x:c r="K33" s="12" t="str"/>
    </x:row>
    <x:row r="34" ht="66" customHeight="1">
      <x:c r="A34" s="2" t="n">
        <x:v>25</x:v>
      </x:c>
      <x:c r="B34" s="10" t="str">
        <x:v>000234</x:v>
      </x:c>
      <x:c r="C34" s="12" t="str">
        <x:v>CINNAMON APPLE OATMEAL</x:v>
      </x:c>
      <x:c r="D34" s="2" t="str">
        <x:v>Breakfast</x:v>
      </x:c>
      <x:c r="E34" s="12" t="str">
        <x:v>Oats, Cinnamon, Almond Milk, Turmeric, Sugar, All Fruits</x:v>
      </x:c>
      <x:c r="F34" s="8" t="n">
        <x:v>42</x:v>
      </x:c>
      <x:c r="G34" s="8" t="n">
        <x:v>30</x:v>
      </x:c>
      <x:c r="H34" s="8" t="n">
        <x:v>16</x:v>
      </x:c>
      <x:c r="I34" s="12" t="str"/>
      <x:c r="J34" s="12" t="str">
        <x:v>No Supy name match</x:v>
      </x:c>
      <x:c r="K34" s="12" t="str"/>
    </x:row>
    <x:row r="35" ht="66" customHeight="1">
      <x:c r="A35" s="2" t="n">
        <x:v>26</x:v>
      </x:c>
      <x:c r="B35" s="10" t="str">
        <x:v>000235</x:v>
      </x:c>
      <x:c r="C35" s="12" t="str">
        <x:v>EGG CAKES</x:v>
      </x:c>
      <x:c r="D35" s="2" t="str">
        <x:v>Breakfast</x:v>
      </x:c>
      <x:c r="E35" s="12" t="str">
        <x:v>Egg, Oats, Spinach, Zucchini, Capsicum, Mushroom, Potato, Lemon, Coriander</x:v>
      </x:c>
      <x:c r="F35" s="8" t="n">
        <x:v>36</x:v>
      </x:c>
      <x:c r="G35" s="8" t="n">
        <x:v>26</x:v>
      </x:c>
      <x:c r="H35" s="8" t="n">
        <x:v>13</x:v>
      </x:c>
      <x:c r="I35" s="12" t="str">
        <x:v>Egg Cake</x:v>
      </x:c>
      <x:c r="J35" s="12" t="str">
        <x:v>Matched to Supy breakfast</x:v>
      </x:c>
      <x:c r="K35" s="12" t="str">
        <x:v>Egg Cake (uncategorized)</x:v>
      </x:c>
    </x:row>
    <x:row r="36" ht="66" customHeight="1">
      <x:c r="A36" s="2" t="n">
        <x:v>27</x:v>
      </x:c>
      <x:c r="B36" s="10" t="str">
        <x:v>000236</x:v>
      </x:c>
      <x:c r="C36" s="12" t="str">
        <x:v>EGG FRITATA MUFFIN</x:v>
      </x:c>
      <x:c r="D36" s="2" t="str">
        <x:v>Breakfast</x:v>
      </x:c>
      <x:c r="E36" s="12" t="str">
        <x:v>Egg, Coconut Milk, Beef, Red Meat, Capsicum</x:v>
      </x:c>
      <x:c r="F36" s="8" t="n">
        <x:v>35</x:v>
      </x:c>
      <x:c r="G36" s="8" t="n">
        <x:v>28</x:v>
      </x:c>
      <x:c r="H36" s="8" t="n">
        <x:v>15</x:v>
      </x:c>
      <x:c r="I36" s="12" t="str">
        <x:v>Egg Fritata Muffin</x:v>
      </x:c>
      <x:c r="J36" s="12" t="str">
        <x:v>Matched to Supy breakfast</x:v>
      </x:c>
      <x:c r="K36" s="12" t="str">
        <x:v>Egg Fritata Muffin (uncategorized)</x:v>
      </x:c>
    </x:row>
    <x:row r="37" ht="66" customHeight="1">
      <x:c r="A37" s="2" t="n">
        <x:v>28</x:v>
      </x:c>
      <x:c r="B37" s="10" t="str">
        <x:v>000252</x:v>
      </x:c>
      <x:c r="C37" s="12" t="str">
        <x:v>PEANUT BUTTER BANANA MUFFIN</x:v>
      </x:c>
      <x:c r="D37" s="2" t="str">
        <x:v>Breakfast</x:v>
      </x:c>
      <x:c r="E37" s="12" t="str">
        <x:v>Gluten Free Flour, Banana, Chia, Brown Sugar, Cinnamon, Peanut Butter</x:v>
      </x:c>
      <x:c r="F37" s="8" t="n">
        <x:v>31</x:v>
      </x:c>
      <x:c r="G37" s="8" t="n">
        <x:v>24</x:v>
      </x:c>
      <x:c r="H37" s="8" t="n">
        <x:v>18</x:v>
      </x:c>
      <x:c r="I37" s="12" t="str"/>
      <x:c r="J37" s="12" t="str">
        <x:v>No Supy name match</x:v>
      </x:c>
      <x:c r="K37" s="12" t="str"/>
    </x:row>
    <x:row r="38" ht="66" customHeight="1">
      <x:c r="A38" s="2" t="n">
        <x:v>29</x:v>
      </x:c>
      <x:c r="B38" s="10" t="str">
        <x:v>000272</x:v>
      </x:c>
      <x:c r="C38" s="12" t="str">
        <x:v>SPINACH EGG MUFFIN</x:v>
      </x:c>
      <x:c r="D38" s="2" t="str">
        <x:v>Breakfast</x:v>
      </x:c>
      <x:c r="E38" s="12" t="str">
        <x:v>Spinach, Egg, Mushroom, All Fruits, Apple, Sweet Potato, Honey, Carrot, Cabbage</x:v>
      </x:c>
      <x:c r="F38" s="8" t="n">
        <x:v>32</x:v>
      </x:c>
      <x:c r="G38" s="8" t="n">
        <x:v>22</x:v>
      </x:c>
      <x:c r="H38" s="8" t="n">
        <x:v>18</x:v>
      </x:c>
      <x:c r="I38" s="12" t="str"/>
      <x:c r="J38" s="12" t="str">
        <x:v>No Supy name match</x:v>
      </x:c>
      <x:c r="K38" s="12" t="str"/>
    </x:row>
    <x:row r="39" ht="66" customHeight="1">
      <x:c r="A39" s="2" t="n">
        <x:v>30</x:v>
      </x:c>
      <x:c r="B39" s="10" t="str">
        <x:v>000273</x:v>
      </x:c>
      <x:c r="C39" s="12" t="str">
        <x:v>MANGO COCONUT OATMEAL</x:v>
      </x:c>
      <x:c r="D39" s="2" t="str">
        <x:v>Breakfast</x:v>
      </x:c>
      <x:c r="E39" s="12" t="str">
        <x:v>All Fruits, Banana, Oats, Mango, Yugurt, Almond Milk, Sugar, Dairy</x:v>
      </x:c>
      <x:c r="F39" s="8" t="n">
        <x:v>43</x:v>
      </x:c>
      <x:c r="G39" s="8" t="n">
        <x:v>28</x:v>
      </x:c>
      <x:c r="H39" s="8" t="n">
        <x:v>16</x:v>
      </x:c>
      <x:c r="I39" s="12" t="str"/>
      <x:c r="J39" s="12" t="str">
        <x:v>No Supy name match</x:v>
      </x:c>
      <x:c r="K39" s="12" t="str"/>
    </x:row>
    <x:row r="40" ht="66" customHeight="1">
      <x:c r="A40" s="2" t="n">
        <x:v>31</x:v>
      </x:c>
      <x:c r="B40" s="10" t="str">
        <x:v>000274</x:v>
      </x:c>
      <x:c r="C40" s="12" t="str">
        <x:v>OREO MUFFINS</x:v>
      </x:c>
      <x:c r="D40" s="2" t="str">
        <x:v>Breakfast</x:v>
      </x:c>
      <x:c r="E40" s="12" t="str">
        <x:v>Gluten Free Flour, Butter, Dairy, Almond Milk, Egg, Sugar, Protein Powder, Oreo</x:v>
      </x:c>
      <x:c r="F40" s="8" t="n">
        <x:v>32</x:v>
      </x:c>
      <x:c r="G40" s="8" t="n">
        <x:v>23</x:v>
      </x:c>
      <x:c r="H40" s="8" t="n">
        <x:v>15</x:v>
      </x:c>
      <x:c r="I40" s="12" t="str"/>
      <x:c r="J40" s="12" t="str">
        <x:v>No Supy name match</x:v>
      </x:c>
      <x:c r="K40" s="12" t="str"/>
    </x:row>
    <x:row r="41" ht="66" customHeight="1">
      <x:c r="A41" s="2" t="n">
        <x:v>32</x:v>
      </x:c>
      <x:c r="B41" s="10" t="str">
        <x:v>000276</x:v>
      </x:c>
      <x:c r="C41" s="12" t="str">
        <x:v>MATCHA SPINACH MUFFIN</x:v>
      </x:c>
      <x:c r="D41" s="2" t="str">
        <x:v>Breakfast</x:v>
      </x:c>
      <x:c r="E41" s="12" t="str">
        <x:v>Egg, Vanilla, Spinach, Gluten Free Flour, Sugar, All Fruits, Apple, Protein Powder</x:v>
      </x:c>
      <x:c r="F41" s="8" t="n">
        <x:v>31</x:v>
      </x:c>
      <x:c r="G41" s="8" t="n">
        <x:v>24</x:v>
      </x:c>
      <x:c r="H41" s="8" t="n">
        <x:v>18</x:v>
      </x:c>
      <x:c r="I41" s="12" t="str"/>
      <x:c r="J41" s="12" t="str">
        <x:v>No Supy name match</x:v>
      </x:c>
      <x:c r="K41" s="12" t="str"/>
    </x:row>
    <x:row r="42" ht="66" customHeight="1">
      <x:c r="A42" s="2" t="n">
        <x:v>33</x:v>
      </x:c>
      <x:c r="B42" s="10" t="str">
        <x:v>000299</x:v>
      </x:c>
      <x:c r="C42" s="12" t="str">
        <x:v>CHICKPEA BROWNIE CUP</x:v>
      </x:c>
      <x:c r="D42" s="2" t="str">
        <x:v>Breakfast</x:v>
      </x:c>
      <x:c r="E42" s="12" t="str">
        <x:v>Chickpeas, Cocoa, Almond Milk, Honey, All Nuts</x:v>
      </x:c>
      <x:c r="F42" s="8" t="n">
        <x:v>31</x:v>
      </x:c>
      <x:c r="G42" s="8" t="n">
        <x:v>22</x:v>
      </x:c>
      <x:c r="H42" s="8" t="n">
        <x:v>16</x:v>
      </x:c>
      <x:c r="I42" s="12" t="str"/>
      <x:c r="J42" s="12" t="str">
        <x:v>No Supy name match</x:v>
      </x:c>
      <x:c r="K42" s="12" t="str"/>
    </x:row>
    <x:row r="43" ht="66" customHeight="1">
      <x:c r="A43" s="2" t="n">
        <x:v>34</x:v>
      </x:c>
      <x:c r="B43" s="10" t="str">
        <x:v>000312</x:v>
      </x:c>
      <x:c r="C43" s="12" t="str">
        <x:v>BERRY COBLER</x:v>
      </x:c>
      <x:c r="D43" s="2" t="str">
        <x:v>Breakfast</x:v>
      </x:c>
      <x:c r="E43" s="12" t="str">
        <x:v>Vanilla, Sugar, Oats, Quinoa, Butter, Dairy, All Fruits, Blueberry, Raspberry, Orange, Cinnamon</x:v>
      </x:c>
      <x:c r="F43" s="8" t="n">
        <x:v>31</x:v>
      </x:c>
      <x:c r="G43" s="8" t="n">
        <x:v>22</x:v>
      </x:c>
      <x:c r="H43" s="8" t="n">
        <x:v>16</x:v>
      </x:c>
      <x:c r="I43" s="12" t="str"/>
      <x:c r="J43" s="12" t="str">
        <x:v>No Supy name match</x:v>
      </x:c>
      <x:c r="K43" s="12" t="str"/>
    </x:row>
    <x:row r="44" ht="66" customHeight="1">
      <x:c r="A44" s="2" t="n">
        <x:v>35</x:v>
      </x:c>
      <x:c r="B44" s="10" t="str">
        <x:v>000313</x:v>
      </x:c>
      <x:c r="C44" s="12" t="str">
        <x:v>CHIA TAPIOCA</x:v>
      </x:c>
      <x:c r="D44" s="2" t="str">
        <x:v>Breakfast</x:v>
      </x:c>
      <x:c r="E44" s="12" t="str">
        <x:v>Chia, Tapioca, Coconut Milk, Sugar, Almond Milk, Vanilla, All Fruits, Strawberry</x:v>
      </x:c>
      <x:c r="F44" s="8" t="n">
        <x:v>31</x:v>
      </x:c>
      <x:c r="G44" s="8" t="n">
        <x:v>28</x:v>
      </x:c>
      <x:c r="H44" s="8" t="n">
        <x:v>16</x:v>
      </x:c>
      <x:c r="I44" s="12" t="str"/>
      <x:c r="J44" s="12" t="str">
        <x:v>No Supy name match</x:v>
      </x:c>
      <x:c r="K44" s="12" t="str"/>
    </x:row>
    <x:row r="45" ht="66" customHeight="1">
      <x:c r="A45" s="2" t="n">
        <x:v>36</x:v>
      </x:c>
      <x:c r="B45" s="10" t="str">
        <x:v>000331</x:v>
      </x:c>
      <x:c r="C45" s="12" t="str">
        <x:v>VEGAN CHOCOLATE WAFFLES</x:v>
      </x:c>
      <x:c r="D45" s="2" t="str">
        <x:v>Breakfast</x:v>
      </x:c>
      <x:c r="E45" s="12" t="str">
        <x:v>Gluten Free Flour, Cinnamon, Almond Milk, Cocoa, Protein Powder, Sugar</x:v>
      </x:c>
      <x:c r="F45" s="8" t="n">
        <x:v>31</x:v>
      </x:c>
      <x:c r="G45" s="8" t="n">
        <x:v>23</x:v>
      </x:c>
      <x:c r="H45" s="8" t="n">
        <x:v>16</x:v>
      </x:c>
      <x:c r="I45" s="12" t="str"/>
      <x:c r="J45" s="12" t="str">
        <x:v>No Supy name match</x:v>
      </x:c>
      <x:c r="K45" s="12" t="str"/>
    </x:row>
    <x:row r="46" ht="66" customHeight="1">
      <x:c r="A46" s="2" t="n">
        <x:v>37</x:v>
      </x:c>
      <x:c r="B46" s="10" t="str">
        <x:v>000332</x:v>
      </x:c>
      <x:c r="C46" s="12" t="str">
        <x:v>EGG WITH HERBED POTATO</x:v>
      </x:c>
      <x:c r="D46" s="2" t="str">
        <x:v>Breakfast</x:v>
      </x:c>
      <x:c r="E46" s="12" t="str">
        <x:v>Egg, Potato, Parsley, Spring Onion, Cherry Tomato</x:v>
      </x:c>
      <x:c r="F46" s="8" t="n">
        <x:v>31</x:v>
      </x:c>
      <x:c r="G46" s="8" t="n">
        <x:v>21</x:v>
      </x:c>
      <x:c r="H46" s="8" t="n">
        <x:v>16</x:v>
      </x:c>
      <x:c r="I46" s="12" t="str"/>
      <x:c r="J46" s="12" t="str">
        <x:v>No Supy name match</x:v>
      </x:c>
      <x:c r="K46" s="12" t="str"/>
    </x:row>
    <x:row r="47" ht="66" customHeight="1">
      <x:c r="A47" s="2" t="n">
        <x:v>38</x:v>
      </x:c>
      <x:c r="B47" s="10" t="str">
        <x:v>000338</x:v>
      </x:c>
      <x:c r="C47" s="12" t="str">
        <x:v>BACON INFUSED EGG MUFFIN</x:v>
      </x:c>
      <x:c r="D47" s="2" t="str">
        <x:v>Breakfast</x:v>
      </x:c>
      <x:c r="E47" s="12" t="str">
        <x:v>Egg, Bacon, Red Meat, Potato</x:v>
      </x:c>
      <x:c r="F47" s="8" t="n">
        <x:v>34</x:v>
      </x:c>
      <x:c r="G47" s="8" t="n">
        <x:v>26</x:v>
      </x:c>
      <x:c r="H47" s="8" t="n">
        <x:v>18</x:v>
      </x:c>
      <x:c r="I47" s="12" t="str"/>
      <x:c r="J47" s="12" t="str">
        <x:v>No Supy name match</x:v>
      </x:c>
      <x:c r="K47" s="12" t="str"/>
    </x:row>
    <x:row r="48" ht="66" customHeight="1">
      <x:c r="A48" s="2" t="n">
        <x:v>39</x:v>
      </x:c>
      <x:c r="B48" s="10" t="str">
        <x:v>000341</x:v>
      </x:c>
      <x:c r="C48" s="12" t="str">
        <x:v>STRAWBERRY CHIA</x:v>
      </x:c>
      <x:c r="D48" s="2" t="str">
        <x:v>Breakfast</x:v>
      </x:c>
      <x:c r="E48" s="12" t="str">
        <x:v>Chia, All Fruits, Strawberry, Almond Milk, Sugar</x:v>
      </x:c>
      <x:c r="F48" s="8" t="n">
        <x:v>32</x:v>
      </x:c>
      <x:c r="G48" s="8" t="n">
        <x:v>24</x:v>
      </x:c>
      <x:c r="H48" s="8" t="n">
        <x:v>18</x:v>
      </x:c>
      <x:c r="I48" s="12" t="str"/>
      <x:c r="J48" s="12" t="str">
        <x:v>No Supy name match</x:v>
      </x:c>
      <x:c r="K48" s="12" t="str"/>
    </x:row>
    <x:row r="49" ht="66" customHeight="1">
      <x:c r="A49" s="2" t="n">
        <x:v>40</x:v>
      </x:c>
      <x:c r="B49" s="10" t="str">
        <x:v>000353</x:v>
      </x:c>
      <x:c r="C49" s="12" t="str">
        <x:v>MANGO COCONUT MUFFIN</x:v>
      </x:c>
      <x:c r="D49" s="2" t="str">
        <x:v>Breakfast</x:v>
      </x:c>
      <x:c r="E49" s="12" t="str">
        <x:v>Coconut, All Fruits, Banana, Mango, Egg, Almond Milk, Yugurt, Sugar, Dairy, Gluten Free Flour, Protein Powder</x:v>
      </x:c>
      <x:c r="F49" s="8" t="n">
        <x:v>31</x:v>
      </x:c>
      <x:c r="G49" s="8" t="n">
        <x:v>26</x:v>
      </x:c>
      <x:c r="H49" s="8" t="n">
        <x:v>18</x:v>
      </x:c>
      <x:c r="I49" s="12" t="str"/>
      <x:c r="J49" s="12" t="str">
        <x:v>Other Supy categories only</x:v>
      </x:c>
      <x:c r="K49" s="12" t="str">
        <x:v>Mango Coconut Muffins (uncategorized); Mango Coconut Muffins (Snacks)</x:v>
      </x:c>
    </x:row>
    <x:row r="50" ht="66" customHeight="1">
      <x:c r="A50" s="2" t="n">
        <x:v>41</x:v>
      </x:c>
      <x:c r="B50" s="10" t="str">
        <x:v>000354</x:v>
      </x:c>
      <x:c r="C50" s="12" t="str">
        <x:v>CINNAMON APRICOT OATS</x:v>
      </x:c>
      <x:c r="D50" s="2" t="str">
        <x:v>Breakfast</x:v>
      </x:c>
      <x:c r="E50" s="12" t="str">
        <x:v>All Fruits, Apricot, Oats, Sugar, Almond Milk, Cinnamon, Apricot, Protein Powder</x:v>
      </x:c>
      <x:c r="F50" s="8" t="n">
        <x:v>42</x:v>
      </x:c>
      <x:c r="G50" s="8" t="n">
        <x:v>33</x:v>
      </x:c>
      <x:c r="H50" s="8" t="n">
        <x:v>18</x:v>
      </x:c>
      <x:c r="I50" s="12" t="str">
        <x:v>Cinnamon Apricot Oats</x:v>
      </x:c>
      <x:c r="J50" s="12" t="str">
        <x:v>Matched to Supy breakfast</x:v>
      </x:c>
      <x:c r="K50" s="12" t="str">
        <x:v>Cinnamon Apricot Oats (uncategorized)</x:v>
      </x:c>
    </x:row>
    <x:row r="51" ht="66" customHeight="1">
      <x:c r="A51" s="2" t="n">
        <x:v>42</x:v>
      </x:c>
      <x:c r="B51" s="10" t="str">
        <x:v>000364</x:v>
      </x:c>
      <x:c r="C51" s="12" t="str">
        <x:v>PUMPKIN WAFFLE</x:v>
      </x:c>
      <x:c r="D51" s="2" t="str">
        <x:v>Breakfast</x:v>
      </x:c>
      <x:c r="E51" s="12" t="str">
        <x:v>Butternut, Dairy, Cheese, Sugar, Egg, Gluten Free Flour, Protein Powder</x:v>
      </x:c>
      <x:c r="F51" s="8" t="n">
        <x:v>32</x:v>
      </x:c>
      <x:c r="G51" s="8" t="n">
        <x:v>24</x:v>
      </x:c>
      <x:c r="H51" s="8" t="n">
        <x:v>18</x:v>
      </x:c>
      <x:c r="I51" s="12" t="str"/>
      <x:c r="J51" s="12" t="str">
        <x:v>No Supy name match</x:v>
      </x:c>
      <x:c r="K51" s="12" t="str"/>
    </x:row>
    <x:row r="52" ht="66" customHeight="1">
      <x:c r="A52" s="2" t="n">
        <x:v>43</x:v>
      </x:c>
      <x:c r="B52" s="10" t="str">
        <x:v>000366</x:v>
      </x:c>
      <x:c r="C52" s="12" t="str">
        <x:v>CHOCOLATE OATS</x:v>
      </x:c>
      <x:c r="D52" s="2" t="str">
        <x:v>Breakfast</x:v>
      </x:c>
      <x:c r="E52" s="12" t="str">
        <x:v>Oats, Cocoa, Almond Milk, All Fruits, Strawberry, Sugar</x:v>
      </x:c>
      <x:c r="F52" s="8" t="n">
        <x:v>41</x:v>
      </x:c>
      <x:c r="G52" s="8" t="n">
        <x:v>30</x:v>
      </x:c>
      <x:c r="H52" s="8" t="n">
        <x:v>18</x:v>
      </x:c>
      <x:c r="I52" s="12" t="str"/>
      <x:c r="J52" s="12" t="str">
        <x:v>No Supy name match</x:v>
      </x:c>
      <x:c r="K52" s="12" t="str"/>
    </x:row>
    <x:row r="53" ht="66" customHeight="1">
      <x:c r="A53" s="2" t="n">
        <x:v>44</x:v>
      </x:c>
      <x:c r="B53" s="10" t="str">
        <x:v>000367</x:v>
      </x:c>
      <x:c r="C53" s="12" t="str">
        <x:v>PUMPKIN ENERGY MUFFIN</x:v>
      </x:c>
      <x:c r="D53" s="2" t="str">
        <x:v>Breakfast</x:v>
      </x:c>
      <x:c r="E53" s="12" t="str">
        <x:v>Gluten Free Flour, Almond Milk, Cocoa, Egg, Sugar, Vanilla, Protein Powder, Butternut</x:v>
      </x:c>
      <x:c r="F53" s="8" t="n">
        <x:v>32</x:v>
      </x:c>
      <x:c r="G53" s="8" t="n">
        <x:v>21</x:v>
      </x:c>
      <x:c r="H53" s="8" t="n">
        <x:v>18</x:v>
      </x:c>
      <x:c r="I53" s="12" t="str"/>
      <x:c r="J53" s="12" t="str">
        <x:v>No Supy name match</x:v>
      </x:c>
      <x:c r="K53" s="12" t="str"/>
    </x:row>
    <x:row r="54" ht="66" customHeight="1">
      <x:c r="A54" s="2" t="n">
        <x:v>45</x:v>
      </x:c>
      <x:c r="B54" s="10" t="str">
        <x:v>000372</x:v>
      </x:c>
      <x:c r="C54" s="12" t="str">
        <x:v>SCRAMBLED EGG MUFFIN</x:v>
      </x:c>
      <x:c r="D54" s="2" t="str">
        <x:v>Breakfast</x:v>
      </x:c>
      <x:c r="E54" s="12" t="str">
        <x:v>Potato, Dairy, Parmesan Cheese, Egg, Lollo Biando, Lollo Rosso, Lettuce, Kale</x:v>
      </x:c>
      <x:c r="F54" s="8" t="n">
        <x:v>32</x:v>
      </x:c>
      <x:c r="G54" s="8" t="n">
        <x:v>21</x:v>
      </x:c>
      <x:c r="H54" s="8" t="n">
        <x:v>18</x:v>
      </x:c>
      <x:c r="I54" s="12" t="str"/>
      <x:c r="J54" s="12" t="str">
        <x:v>No Supy name match</x:v>
      </x:c>
      <x:c r="K54" s="12" t="str"/>
    </x:row>
    <x:row r="55" ht="66" customHeight="1">
      <x:c r="A55" s="2" t="n">
        <x:v>46</x:v>
      </x:c>
      <x:c r="B55" s="10" t="str">
        <x:v>000377</x:v>
      </x:c>
      <x:c r="C55" s="12" t="str">
        <x:v>CHIPOTLE EGG MUFFIN</x:v>
      </x:c>
      <x:c r="D55" s="2" t="str">
        <x:v>Breakfast</x:v>
      </x:c>
      <x:c r="E55" s="12" t="str">
        <x:v>Egg, Sausage, Capsicum, Mushroom, Sweet Potato</x:v>
      </x:c>
      <x:c r="F55" s="8" t="n">
        <x:v>32</x:v>
      </x:c>
      <x:c r="G55" s="8" t="n">
        <x:v>24</x:v>
      </x:c>
      <x:c r="H55" s="8" t="n">
        <x:v>18</x:v>
      </x:c>
      <x:c r="I55" s="12" t="str"/>
      <x:c r="J55" s="12" t="str">
        <x:v>No Supy name match</x:v>
      </x:c>
      <x:c r="K55" s="12" t="str"/>
    </x:row>
    <x:row r="56" ht="66" customHeight="1">
      <x:c r="A56" s="2" t="n">
        <x:v>47</x:v>
      </x:c>
      <x:c r="B56" s="10" t="str">
        <x:v>000378</x:v>
      </x:c>
      <x:c r="C56" s="12" t="str">
        <x:v>HUEVOS RANCHEROS</x:v>
      </x:c>
      <x:c r="D56" s="2" t="str">
        <x:v>Breakfast</x:v>
      </x:c>
      <x:c r="E56" s="12" t="str">
        <x:v>Egg, Bacon, Red Meat, Kidney Beans, Raw Tomato, Raw Onion, Coriander, Gluten, Bread</x:v>
      </x:c>
      <x:c r="F56" s="8" t="n">
        <x:v>35</x:v>
      </x:c>
      <x:c r="G56" s="8" t="n">
        <x:v>25</x:v>
      </x:c>
      <x:c r="H56" s="8" t="n">
        <x:v>18</x:v>
      </x:c>
      <x:c r="I56" s="12" t="str"/>
      <x:c r="J56" s="12" t="str">
        <x:v>No Supy name match</x:v>
      </x:c>
      <x:c r="K56" s="12" t="str"/>
    </x:row>
    <x:row r="57" ht="66" customHeight="1">
      <x:c r="A57" s="2" t="n">
        <x:v>48</x:v>
      </x:c>
      <x:c r="B57" s="10" t="str">
        <x:v>000399</x:v>
      </x:c>
      <x:c r="C57" s="12" t="str">
        <x:v>EGG ON CAPSICUM</x:v>
      </x:c>
      <x:c r="D57" s="2" t="str">
        <x:v>Breakfast</x:v>
      </x:c>
      <x:c r="E57" s="12" t="str">
        <x:v>Capsicum, Potato, Egg, Spinach</x:v>
      </x:c>
      <x:c r="F57" s="8" t="n">
        <x:v>31</x:v>
      </x:c>
      <x:c r="G57" s="8" t="n">
        <x:v>24</x:v>
      </x:c>
      <x:c r="H57" s="8" t="n">
        <x:v>18</x:v>
      </x:c>
      <x:c r="I57" s="12" t="str">
        <x:v>Eggs on Capsicum</x:v>
      </x:c>
      <x:c r="J57" s="12" t="str">
        <x:v>Matched to Supy breakfast</x:v>
      </x:c>
      <x:c r="K57" s="12" t="str">
        <x:v>Eggs on Capsicum (uncategorized)</x:v>
      </x:c>
    </x:row>
    <x:row r="58" ht="66" customHeight="1">
      <x:c r="A58" s="2" t="n">
        <x:v>49</x:v>
      </x:c>
      <x:c r="B58" s="10" t="str">
        <x:v>000411</x:v>
      </x:c>
      <x:c r="C58" s="12" t="str">
        <x:v>VEGAN CHOCOLATE MUFFIN</x:v>
      </x:c>
      <x:c r="D58" s="2" t="str">
        <x:v>Breakfast</x:v>
      </x:c>
      <x:c r="E58" s="12" t="str">
        <x:v>Gluten Free Flour, Protein Powder, Coconut Milk, Cocoa</x:v>
      </x:c>
      <x:c r="F58" s="8" t="n">
        <x:v>31</x:v>
      </x:c>
      <x:c r="G58" s="8" t="n">
        <x:v>24</x:v>
      </x:c>
      <x:c r="H58" s="8" t="n">
        <x:v>19</x:v>
      </x:c>
      <x:c r="I58" s="12" t="str"/>
      <x:c r="J58" s="12" t="str">
        <x:v>No Supy name match</x:v>
      </x:c>
      <x:c r="K58" s="12" t="str"/>
    </x:row>
    <x:row r="59" ht="66" customHeight="1">
      <x:c r="A59" s="2" t="n">
        <x:v>50</x:v>
      </x:c>
      <x:c r="B59" s="10" t="str">
        <x:v>000419</x:v>
      </x:c>
      <x:c r="C59" s="12" t="str">
        <x:v>SPINACH MUFFINS</x:v>
      </x:c>
      <x:c r="D59" s="2" t="str">
        <x:v>Breakfast</x:v>
      </x:c>
      <x:c r="E59" s="12" t="str">
        <x:v>Gluten Free Flour, Vanilla, Apple, Egg, Spinach, Protein Powder</x:v>
      </x:c>
      <x:c r="F59" s="8" t="n">
        <x:v>24</x:v>
      </x:c>
      <x:c r="G59" s="8" t="n">
        <x:v>21</x:v>
      </x:c>
      <x:c r="H59" s="8" t="n">
        <x:v>12</x:v>
      </x:c>
      <x:c r="I59" s="12" t="str">
        <x:v>Spinach Muffins</x:v>
      </x:c>
      <x:c r="J59" s="12" t="str">
        <x:v>Matched to Supy breakfast</x:v>
      </x:c>
      <x:c r="K59" s="12" t="str"/>
    </x:row>
    <x:row r="60" ht="66" customHeight="1">
      <x:c r="A60" s="2" t="n">
        <x:v>51</x:v>
      </x:c>
      <x:c r="B60" s="10" t="str">
        <x:v>000430</x:v>
      </x:c>
      <x:c r="C60" s="12" t="str">
        <x:v>AIR FRY CAULIFLOWER BALLS</x:v>
      </x:c>
      <x:c r="D60" s="2" t="str">
        <x:v>Breakfast</x:v>
      </x:c>
      <x:c r="E60" s="12" t="str">
        <x:v>Egg, Cauliflower, Dairy, Cheese, Gluten, Sweet Potato, Beans, Raw Onion, Raw Tomato, Coriander</x:v>
      </x:c>
      <x:c r="F60" s="8" t="n">
        <x:v>32</x:v>
      </x:c>
      <x:c r="G60" s="8" t="n">
        <x:v>24</x:v>
      </x:c>
      <x:c r="H60" s="8" t="n">
        <x:v>19</x:v>
      </x:c>
      <x:c r="I60" s="12" t="str">
        <x:v>Air Fry Cauliflower Ball</x:v>
      </x:c>
      <x:c r="J60" s="12" t="str">
        <x:v>Matched to Supy breakfast</x:v>
      </x:c>
      <x:c r="K60" s="12" t="str">
        <x:v>Air Fry Cauliflower Ball (uncategorized)</x:v>
      </x:c>
    </x:row>
    <x:row r="61" ht="66" customHeight="1">
      <x:c r="A61" s="2" t="n">
        <x:v>52</x:v>
      </x:c>
      <x:c r="B61" s="10" t="str">
        <x:v>000431</x:v>
      </x:c>
      <x:c r="C61" s="12" t="str">
        <x:v>MIX BERRY CUPS</x:v>
      </x:c>
      <x:c r="D61" s="2" t="str">
        <x:v>Breakfast</x:v>
      </x:c>
      <x:c r="E61" s="12" t="str">
        <x:v>Egg, Gluten Free Flour, Almond Milk, All Fruits, Raspberry, Blueberry, Strawberry</x:v>
      </x:c>
      <x:c r="F61" s="8" t="n">
        <x:v>31</x:v>
      </x:c>
      <x:c r="G61" s="8" t="n">
        <x:v>24</x:v>
      </x:c>
      <x:c r="H61" s="8" t="n">
        <x:v>18</x:v>
      </x:c>
      <x:c r="I61" s="12" t="str"/>
      <x:c r="J61" s="12" t="str">
        <x:v>No Supy name match</x:v>
      </x:c>
      <x:c r="K61" s="12" t="str"/>
    </x:row>
    <x:row r="62" ht="66" customHeight="1">
      <x:c r="A62" s="2" t="n">
        <x:v>53</x:v>
      </x:c>
      <x:c r="B62" s="10" t="str">
        <x:v>000444</x:v>
      </x:c>
      <x:c r="C62" s="12" t="str">
        <x:v>SUNNY SIDE UP EGG MUFFIN</x:v>
      </x:c>
      <x:c r="D62" s="2" t="str">
        <x:v>Breakfast</x:v>
      </x:c>
      <x:c r="E62" s="12" t="str">
        <x:v>Egg, Potato, Carrot, Cucumber, Olives</x:v>
      </x:c>
      <x:c r="F62" s="8" t="n">
        <x:v>35</x:v>
      </x:c>
      <x:c r="G62" s="8" t="n">
        <x:v>24</x:v>
      </x:c>
      <x:c r="H62" s="8" t="n">
        <x:v>19</x:v>
      </x:c>
      <x:c r="I62" s="12" t="str"/>
      <x:c r="J62" s="12" t="str">
        <x:v>No Supy name match</x:v>
      </x:c>
      <x:c r="K62" s="12" t="str"/>
    </x:row>
    <x:row r="63" ht="66" customHeight="1">
      <x:c r="A63" s="2" t="n">
        <x:v>54</x:v>
      </x:c>
      <x:c r="B63" s="10" t="str">
        <x:v>000449</x:v>
      </x:c>
      <x:c r="C63" s="12" t="str">
        <x:v>SWEET CORN PANCAKE</x:v>
      </x:c>
      <x:c r="D63" s="2" t="str">
        <x:v>Breakfast</x:v>
      </x:c>
      <x:c r="E63" s="12" t="str">
        <x:v>Oats, Corn, Egg, Vanilla, Cheese, Dairy</x:v>
      </x:c>
      <x:c r="F63" s="8" t="n">
        <x:v>32</x:v>
      </x:c>
      <x:c r="G63" s="8" t="n">
        <x:v>24</x:v>
      </x:c>
      <x:c r="H63" s="8" t="n">
        <x:v>18</x:v>
      </x:c>
      <x:c r="I63" s="12" t="str">
        <x:v>Sweet Corn Pancake</x:v>
      </x:c>
      <x:c r="J63" s="12" t="str">
        <x:v>Matched to Supy breakfast</x:v>
      </x:c>
      <x:c r="K63" s="12" t="str">
        <x:v>Sweet Corn Pancake (uncategorized)</x:v>
      </x:c>
    </x:row>
    <x:row r="64" ht="66" customHeight="1">
      <x:c r="A64" s="2" t="n">
        <x:v>55</x:v>
      </x:c>
      <x:c r="B64" s="10" t="str">
        <x:v>000450</x:v>
      </x:c>
      <x:c r="C64" s="12" t="str">
        <x:v>ZUCCHINI BALLS AND SAUSAGE</x:v>
      </x:c>
      <x:c r="D64" s="2" t="str">
        <x:v>Breakfast</x:v>
      </x:c>
      <x:c r="E64" s="12" t="str">
        <x:v>Zucchini, Cheese, Dairy, Egg, Gluten Free Flour, Sausage</x:v>
      </x:c>
      <x:c r="F64" s="8" t="n">
        <x:v>35</x:v>
      </x:c>
      <x:c r="G64" s="8" t="n">
        <x:v>25</x:v>
      </x:c>
      <x:c r="H64" s="8" t="n">
        <x:v>16</x:v>
      </x:c>
      <x:c r="I64" s="12" t="str"/>
      <x:c r="J64" s="12" t="str">
        <x:v>No Supy name match</x:v>
      </x:c>
      <x:c r="K64" s="12" t="str"/>
    </x:row>
    <x:row r="65" ht="66" customHeight="1">
      <x:c r="A65" s="2" t="n">
        <x:v>56</x:v>
      </x:c>
      <x:c r="B65" s="10" t="str">
        <x:v>000452</x:v>
      </x:c>
      <x:c r="C65" s="12" t="str">
        <x:v>SWEET POTATO ENERGY MUFFINS</x:v>
      </x:c>
      <x:c r="D65" s="2" t="str">
        <x:v>Breakfast</x:v>
      </x:c>
      <x:c r="E65" s="12" t="str">
        <x:v>Egg, Sweet Potato, Vanilla, Gluten, Dairy</x:v>
      </x:c>
      <x:c r="F65" s="8" t="n">
        <x:v>32</x:v>
      </x:c>
      <x:c r="G65" s="8" t="n">
        <x:v>21</x:v>
      </x:c>
      <x:c r="H65" s="8" t="n">
        <x:v>18</x:v>
      </x:c>
      <x:c r="I65" s="12" t="str"/>
      <x:c r="J65" s="12" t="str">
        <x:v>No Supy name match</x:v>
      </x:c>
      <x:c r="K65" s="12" t="str"/>
    </x:row>
    <x:row r="66" ht="66" customHeight="1">
      <x:c r="A66" s="2" t="n">
        <x:v>57</x:v>
      </x:c>
      <x:c r="B66" s="10" t="str">
        <x:v>000453</x:v>
      </x:c>
      <x:c r="C66" s="12" t="str">
        <x:v>GLUTEN FREE FRENCH TOAST</x:v>
      </x:c>
      <x:c r="D66" s="2" t="str">
        <x:v>Breakfast</x:v>
      </x:c>
      <x:c r="E66" s="12" t="str">
        <x:v>Bread, Egg, Almond Milk, Cinnamon, Blueberry, All Fruits, Rock Melon</x:v>
      </x:c>
      <x:c r="F66" s="8" t="n">
        <x:v>31</x:v>
      </x:c>
      <x:c r="G66" s="8" t="n">
        <x:v>25</x:v>
      </x:c>
      <x:c r="H66" s="8" t="n">
        <x:v>19</x:v>
      </x:c>
      <x:c r="I66" s="12" t="str"/>
      <x:c r="J66" s="12" t="str">
        <x:v>No Supy name match</x:v>
      </x:c>
      <x:c r="K66" s="12" t="str"/>
    </x:row>
    <x:row r="67" ht="66" customHeight="1">
      <x:c r="A67" s="2" t="n">
        <x:v>58</x:v>
      </x:c>
      <x:c r="B67" s="10" t="str">
        <x:v>000462</x:v>
      </x:c>
      <x:c r="C67" s="12" t="str">
        <x:v>SWEET CORN WAFFLE</x:v>
      </x:c>
      <x:c r="D67" s="2" t="str">
        <x:v>Breakfast</x:v>
      </x:c>
      <x:c r="E67" s="12" t="str">
        <x:v>Egg, Corn, Gluten Free Flour, Protein Powder</x:v>
      </x:c>
      <x:c r="F67" s="8" t="n">
        <x:v>31</x:v>
      </x:c>
      <x:c r="G67" s="8" t="n">
        <x:v>24</x:v>
      </x:c>
      <x:c r="H67" s="8" t="n">
        <x:v>18</x:v>
      </x:c>
      <x:c r="I67" s="12" t="str"/>
      <x:c r="J67" s="12" t="str">
        <x:v>No Supy name match</x:v>
      </x:c>
      <x:c r="K67" s="12" t="str"/>
    </x:row>
    <x:row r="68" ht="66" customHeight="1">
      <x:c r="A68" s="2" t="n">
        <x:v>59</x:v>
      </x:c>
      <x:c r="B68" s="10" t="str">
        <x:v>000463</x:v>
      </x:c>
      <x:c r="C68" s="12" t="str">
        <x:v>SPINACH SHAKSHUKA</x:v>
      </x:c>
      <x:c r="D68" s="2" t="str">
        <x:v>Breakfast</x:v>
      </x:c>
      <x:c r="E68" s="12" t="str">
        <x:v>Egg, Capsicum, Coriander, Potato, Spinach</x:v>
      </x:c>
      <x:c r="F68" s="8" t="n">
        <x:v>35</x:v>
      </x:c>
      <x:c r="G68" s="8" t="n">
        <x:v>25</x:v>
      </x:c>
      <x:c r="H68" s="8" t="n">
        <x:v>16</x:v>
      </x:c>
      <x:c r="I68" s="12" t="str"/>
      <x:c r="J68" s="12" t="str">
        <x:v>No Supy name match</x:v>
      </x:c>
      <x:c r="K68" s="12" t="str"/>
    </x:row>
    <x:row r="69" ht="66" customHeight="1">
      <x:c r="A69" s="2" t="n">
        <x:v>60</x:v>
      </x:c>
      <x:c r="B69" s="10" t="str">
        <x:v>000464</x:v>
      </x:c>
      <x:c r="C69" s="12" t="str">
        <x:v>BANANA PANCAKE</x:v>
      </x:c>
      <x:c r="D69" s="2" t="str">
        <x:v>Breakfast</x:v>
      </x:c>
      <x:c r="E69" s="12" t="str">
        <x:v>Egg, Gluten Free Flour, Almond Milk, Cinnamon, Banana, All Fruits, Protein Powder</x:v>
      </x:c>
      <x:c r="F69" s="8" t="n">
        <x:v>31</x:v>
      </x:c>
      <x:c r="G69" s="8" t="n">
        <x:v>22</x:v>
      </x:c>
      <x:c r="H69" s="8" t="n">
        <x:v>18</x:v>
      </x:c>
      <x:c r="I69" s="12" t="str"/>
      <x:c r="J69" s="12" t="str">
        <x:v>No Supy name match</x:v>
      </x:c>
      <x:c r="K69" s="12" t="str"/>
    </x:row>
    <x:row r="70" ht="66" customHeight="1">
      <x:c r="A70" s="2" t="n">
        <x:v>61</x:v>
      </x:c>
      <x:c r="B70" s="10" t="str">
        <x:v>000465</x:v>
      </x:c>
      <x:c r="C70" s="12" t="str">
        <x:v>SPINACH AND SUNDRIED TOMATO EGG CUPS</x:v>
      </x:c>
      <x:c r="D70" s="2" t="str">
        <x:v>Breakfast</x:v>
      </x:c>
      <x:c r="E70" s="12" t="str">
        <x:v>Egg, Spinach, Dairy, Parmesan Cheese, Potato, Cucumber, Olives</x:v>
      </x:c>
      <x:c r="F70" s="8" t="n">
        <x:v>35</x:v>
      </x:c>
      <x:c r="G70" s="8" t="n">
        <x:v>25</x:v>
      </x:c>
      <x:c r="H70" s="8" t="n">
        <x:v>18</x:v>
      </x:c>
      <x:c r="I70" s="12" t="str">
        <x:v>Spinach &amp; Sundried Tomato Egg Cups</x:v>
      </x:c>
      <x:c r="J70" s="12" t="str">
        <x:v>Matched to Supy breakfast</x:v>
      </x:c>
      <x:c r="K70" s="12" t="str">
        <x:v>Spinach &amp; Sundried Tomato Egg Cups (uncategorized)</x:v>
      </x:c>
    </x:row>
    <x:row r="71" ht="66" customHeight="1">
      <x:c r="A71" s="2" t="n">
        <x:v>62</x:v>
      </x:c>
      <x:c r="B71" s="10" t="str">
        <x:v>000466</x:v>
      </x:c>
      <x:c r="C71" s="12" t="str">
        <x:v>BACON ,CHEESE,AND ONION SAVOURY MUFFIN</x:v>
      </x:c>
      <x:c r="D71" s="2" t="str">
        <x:v>Breakfast</x:v>
      </x:c>
      <x:c r="E71" s="12" t="str">
        <x:v>Egg, Dairy, Cheese, Gluten, Bacon, Red Meat, Sweet Potato</x:v>
      </x:c>
      <x:c r="F71" s="8" t="n">
        <x:v>35</x:v>
      </x:c>
      <x:c r="G71" s="8" t="n">
        <x:v>26</x:v>
      </x:c>
      <x:c r="H71" s="8" t="n">
        <x:v>18</x:v>
      </x:c>
      <x:c r="I71" s="12" t="str"/>
      <x:c r="J71" s="12" t="str">
        <x:v>No Supy name match</x:v>
      </x:c>
      <x:c r="K71" s="12" t="str"/>
    </x:row>
    <x:row r="72" ht="66" customHeight="1">
      <x:c r="A72" s="2" t="n">
        <x:v>63</x:v>
      </x:c>
      <x:c r="B72" s="10" t="str">
        <x:v>000467</x:v>
      </x:c>
      <x:c r="C72" s="12" t="str">
        <x:v>RASPBERRY OATS</x:v>
      </x:c>
      <x:c r="D72" s="2" t="str">
        <x:v>Breakfast</x:v>
      </x:c>
      <x:c r="E72" s="12" t="str">
        <x:v>Oats, Raspberry, All Fruits, Almond Milk, Vanilla</x:v>
      </x:c>
      <x:c r="F72" s="8" t="n">
        <x:v>42</x:v>
      </x:c>
      <x:c r="G72" s="8" t="n">
        <x:v>34</x:v>
      </x:c>
      <x:c r="H72" s="8" t="n">
        <x:v>18</x:v>
      </x:c>
      <x:c r="I72" s="12" t="str">
        <x:v>Raspberry Oats</x:v>
      </x:c>
      <x:c r="J72" s="12" t="str">
        <x:v>Matched to Supy breakfast</x:v>
      </x:c>
      <x:c r="K72" s="12" t="str">
        <x:v>Raspberry Oats (uncategorized)</x:v>
      </x:c>
    </x:row>
    <x:row r="73" ht="66" customHeight="1">
      <x:c r="A73" s="2" t="n">
        <x:v>64</x:v>
      </x:c>
      <x:c r="B73" s="10" t="str">
        <x:v>000470</x:v>
      </x:c>
      <x:c r="C73" s="12" t="str">
        <x:v>APPLE SPINACH WAFFLE</x:v>
      </x:c>
      <x:c r="D73" s="2" t="str">
        <x:v>Breakfast</x:v>
      </x:c>
      <x:c r="E73" s="12" t="str">
        <x:v>Egg, Vanilla, Spinach, Gluten Free Flour, Apple, All Fruits, Protein Powder</x:v>
      </x:c>
      <x:c r="F73" s="8" t="n">
        <x:v>31</x:v>
      </x:c>
      <x:c r="G73" s="8" t="n">
        <x:v>21</x:v>
      </x:c>
      <x:c r="H73" s="8" t="n">
        <x:v>9</x:v>
      </x:c>
      <x:c r="I73" s="12" t="str"/>
      <x:c r="J73" s="12" t="str">
        <x:v>No Supy name match</x:v>
      </x:c>
      <x:c r="K73" s="12" t="str"/>
    </x:row>
    <x:row r="74" ht="66" customHeight="1">
      <x:c r="A74" s="2" t="n">
        <x:v>65</x:v>
      </x:c>
      <x:c r="B74" s="10" t="str">
        <x:v>000479</x:v>
      </x:c>
      <x:c r="C74" s="12" t="str">
        <x:v>CHORIZO BAKED EGG</x:v>
      </x:c>
      <x:c r="D74" s="2" t="str">
        <x:v>Breakfast</x:v>
      </x:c>
      <x:c r="E74" s="12" t="str">
        <x:v>Egg, Sausage, Beans, Spinach, Bread, Gluten</x:v>
      </x:c>
      <x:c r="F74" s="8" t="n">
        <x:v>31</x:v>
      </x:c>
      <x:c r="G74" s="8" t="n">
        <x:v>21</x:v>
      </x:c>
      <x:c r="H74" s="8" t="n">
        <x:v>19</x:v>
      </x:c>
      <x:c r="I74" s="12" t="str"/>
      <x:c r="J74" s="12" t="str">
        <x:v>No Supy name match</x:v>
      </x:c>
      <x:c r="K74" s="12" t="str"/>
    </x:row>
    <x:row r="75" ht="66" customHeight="1">
      <x:c r="A75" s="2" t="n">
        <x:v>66</x:v>
      </x:c>
      <x:c r="B75" s="10" t="str">
        <x:v>000480</x:v>
      </x:c>
      <x:c r="C75" s="12" t="str">
        <x:v>HEALTHY CABBAGE ONION FRITATA</x:v>
      </x:c>
      <x:c r="D75" s="2" t="str">
        <x:v>Breakfast</x:v>
      </x:c>
      <x:c r="E75" s="12" t="str">
        <x:v>Cabbage, Egg, Cheese, Dairy, Potato, All Nuts, Carrot, Honey, All Fruits, Raisins</x:v>
      </x:c>
      <x:c r="F75" s="8" t="n">
        <x:v>31</x:v>
      </x:c>
      <x:c r="G75" s="8" t="n">
        <x:v>25</x:v>
      </x:c>
      <x:c r="H75" s="8" t="n">
        <x:v>16</x:v>
      </x:c>
      <x:c r="I75" s="12" t="str"/>
      <x:c r="J75" s="12" t="str">
        <x:v>No Supy name match</x:v>
      </x:c>
      <x:c r="K75" s="12" t="str"/>
    </x:row>
    <x:row r="76" ht="66" customHeight="1">
      <x:c r="A76" s="2" t="n">
        <x:v>67</x:v>
      </x:c>
      <x:c r="B76" s="10" t="str">
        <x:v>000496</x:v>
      </x:c>
      <x:c r="C76" s="12" t="str">
        <x:v>BLUEBERRY GRAHAM MUFFIN</x:v>
      </x:c>
      <x:c r="D76" s="2" t="str">
        <x:v>Breakfast</x:v>
      </x:c>
      <x:c r="E76" s="12" t="str">
        <x:v>Gluten Free Flour, Egg, Yugurt, Dairy, Vanilla, Blueberry, All Fruits, Almond Milk</x:v>
      </x:c>
      <x:c r="F76" s="8" t="n">
        <x:v>31</x:v>
      </x:c>
      <x:c r="G76" s="8" t="n">
        <x:v>24</x:v>
      </x:c>
      <x:c r="H76" s="8" t="n">
        <x:v>18</x:v>
      </x:c>
      <x:c r="I76" s="12" t="str"/>
      <x:c r="J76" s="12" t="str">
        <x:v>No Supy name match</x:v>
      </x:c>
      <x:c r="K76" s="12" t="str"/>
    </x:row>
    <x:row r="77" ht="66" customHeight="1">
      <x:c r="A77" s="2" t="n">
        <x:v>68</x:v>
      </x:c>
      <x:c r="B77" s="10" t="str">
        <x:v>000518</x:v>
      </x:c>
      <x:c r="C77" s="12" t="str">
        <x:v>CHOCOLATE MUFFINS</x:v>
      </x:c>
      <x:c r="D77" s="2" t="str">
        <x:v>Breakfast</x:v>
      </x:c>
      <x:c r="E77" s="12" t="str">
        <x:v>Gluten Free Flour, Protein Powder, Almond Milk, Egg, Cocoa, Butter, Vanilla</x:v>
      </x:c>
      <x:c r="F77" s="8" t="n">
        <x:v>31</x:v>
      </x:c>
      <x:c r="G77" s="8" t="n">
        <x:v>22</x:v>
      </x:c>
      <x:c r="H77" s="8" t="n">
        <x:v>18</x:v>
      </x:c>
      <x:c r="I77" s="12" t="str"/>
      <x:c r="J77" s="12" t="str">
        <x:v>No Supy name match</x:v>
      </x:c>
      <x:c r="K77" s="12" t="str"/>
    </x:row>
    <x:row r="78" ht="66" customHeight="1">
      <x:c r="A78" s="2" t="n">
        <x:v>69</x:v>
      </x:c>
      <x:c r="B78" s="10" t="str">
        <x:v>000531</x:v>
      </x:c>
      <x:c r="C78" s="12" t="str">
        <x:v>PEANUT BUTTER MUFFIN</x:v>
      </x:c>
      <x:c r="D78" s="2" t="str">
        <x:v>Breakfast</x:v>
      </x:c>
      <x:c r="E78" s="12" t="str">
        <x:v>All Nuts, Peanut Butter, Honey, Sugar, Coconut, Egg, Protein Powder, Cocoa</x:v>
      </x:c>
      <x:c r="F78" s="8" t="n">
        <x:v>31</x:v>
      </x:c>
      <x:c r="G78" s="8" t="n">
        <x:v>21</x:v>
      </x:c>
      <x:c r="H78" s="8" t="n">
        <x:v>9</x:v>
      </x:c>
      <x:c r="I78" s="12" t="str">
        <x:v>Peanut Butter Muffins</x:v>
      </x:c>
      <x:c r="J78" s="12" t="str">
        <x:v>Matched to Supy breakfast</x:v>
      </x:c>
      <x:c r="K78" s="12" t="str">
        <x:v>Peanut Butter Muffins (uncategorized); Peanut Butter Muffins (Snacks)</x:v>
      </x:c>
    </x:row>
    <x:row r="79" ht="66" customHeight="1">
      <x:c r="A79" s="2" t="n">
        <x:v>70</x:v>
      </x:c>
      <x:c r="B79" s="10" t="str">
        <x:v>000568</x:v>
      </x:c>
      <x:c r="C79" s="12" t="str">
        <x:v>CHEESY CORN MUFFINS</x:v>
      </x:c>
      <x:c r="D79" s="2" t="str">
        <x:v>Breakfast</x:v>
      </x:c>
      <x:c r="E79" s="12" t="str">
        <x:v>Egg, Corn, Vanilla, Cheese, Dairy</x:v>
      </x:c>
      <x:c r="F79" s="8" t="n">
        <x:v>31</x:v>
      </x:c>
      <x:c r="G79" s="8" t="n">
        <x:v>24</x:v>
      </x:c>
      <x:c r="H79" s="8" t="n">
        <x:v>18</x:v>
      </x:c>
      <x:c r="I79" s="12" t="str"/>
      <x:c r="J79" s="12" t="str">
        <x:v>No Supy name match</x:v>
      </x:c>
      <x:c r="K79" s="12" t="str"/>
    </x:row>
    <x:row r="80" ht="66" customHeight="1">
      <x:c r="A80" s="2" t="n">
        <x:v>71</x:v>
      </x:c>
      <x:c r="B80" s="10" t="str">
        <x:v>000578</x:v>
      </x:c>
      <x:c r="C80" s="12" t="str">
        <x:v>APRICOT WAFFLE</x:v>
      </x:c>
      <x:c r="D80" s="2" t="str">
        <x:v>Breakfast</x:v>
      </x:c>
      <x:c r="E80" s="12" t="str">
        <x:v>Egg, Oats, Raspberry, Almond Milk, Protein Powder, Brown Sugar, Gluten Free Flour</x:v>
      </x:c>
      <x:c r="F80" s="8" t="n">
        <x:v>32</x:v>
      </x:c>
      <x:c r="G80" s="8" t="n">
        <x:v>24</x:v>
      </x:c>
      <x:c r="H80" s="8" t="n">
        <x:v>16</x:v>
      </x:c>
      <x:c r="I80" s="12" t="str"/>
      <x:c r="J80" s="12" t="str">
        <x:v>No Supy name match</x:v>
      </x:c>
      <x:c r="K80" s="12" t="str"/>
    </x:row>
    <x:row r="81" ht="66" customHeight="1">
      <x:c r="A81" s="2" t="n">
        <x:v>72</x:v>
      </x:c>
      <x:c r="B81" s="10" t="str">
        <x:v>000584</x:v>
      </x:c>
      <x:c r="C81" s="12" t="str">
        <x:v>MIX BERRY OATS</x:v>
      </x:c>
      <x:c r="D81" s="2" t="str">
        <x:v>Breakfast</x:v>
      </x:c>
      <x:c r="E81" s="12" t="str">
        <x:v>Almond Milk, Oats, Vanilla, Blueberry, Raspberry, Strawberry, Sugar</x:v>
      </x:c>
      <x:c r="F81" s="8" t="n">
        <x:v>42</x:v>
      </x:c>
      <x:c r="G81" s="8" t="n">
        <x:v>34</x:v>
      </x:c>
      <x:c r="H81" s="8" t="n">
        <x:v>18</x:v>
      </x:c>
      <x:c r="I81" s="12" t="str">
        <x:v>Mix Berry Oats</x:v>
      </x:c>
      <x:c r="J81" s="12" t="str">
        <x:v>Matched to Supy breakfast</x:v>
      </x:c>
      <x:c r="K81" s="12" t="str">
        <x:v>Mix Berry Oats (uncategorized)</x:v>
      </x:c>
    </x:row>
    <x:row r="82" ht="66" customHeight="1">
      <x:c r="A82" s="2" t="n">
        <x:v>73</x:v>
      </x:c>
      <x:c r="B82" s="10" t="str">
        <x:v>000589</x:v>
      </x:c>
      <x:c r="C82" s="12" t="str">
        <x:v>CHEESY SWEETCORN MUFFINS</x:v>
      </x:c>
      <x:c r="D82" s="2" t="str">
        <x:v>Breakfast</x:v>
      </x:c>
      <x:c r="E82" s="12" t="str">
        <x:v>Dairy, Egg, Cheese, Corn, Gluten Free Flour</x:v>
      </x:c>
      <x:c r="F82" s="8" t="n">
        <x:v>30</x:v>
      </x:c>
      <x:c r="G82" s="8" t="n">
        <x:v>22</x:v>
      </x:c>
      <x:c r="H82" s="8" t="n">
        <x:v>19</x:v>
      </x:c>
      <x:c r="I82" s="12" t="str"/>
      <x:c r="J82" s="12" t="str">
        <x:v>No Supy name match</x:v>
      </x:c>
      <x:c r="K82" s="12" t="str"/>
    </x:row>
    <x:row r="83" ht="66" customHeight="1">
      <x:c r="A83" s="2" t="n">
        <x:v>74</x:v>
      </x:c>
      <x:c r="B83" s="10" t="str">
        <x:v>000613</x:v>
      </x:c>
      <x:c r="C83" s="12" t="str">
        <x:v>OAT MEAL</x:v>
      </x:c>
      <x:c r="D83" s="2" t="str">
        <x:v>Breakfast</x:v>
      </x:c>
      <x:c r="E83" s="12" t="str">
        <x:v>Oats, Almond Milk, Honey, Blueberry, Protein Powder</x:v>
      </x:c>
      <x:c r="F83" s="8" t="n">
        <x:v>55</x:v>
      </x:c>
      <x:c r="G83" s="8" t="n">
        <x:v>30</x:v>
      </x:c>
      <x:c r="H83" s="8" t="n">
        <x:v>10</x:v>
      </x:c>
      <x:c r="I83" s="12" t="str"/>
      <x:c r="J83" s="12" t="str">
        <x:v>No Supy name match</x:v>
      </x:c>
      <x:c r="K83" s="12" t="str"/>
    </x:row>
    <x:row r="84" ht="66" customHeight="1">
      <x:c r="A84" s="2" t="n">
        <x:v>75</x:v>
      </x:c>
      <x:c r="B84" s="10" t="str">
        <x:v>000615</x:v>
      </x:c>
      <x:c r="C84" s="12" t="str">
        <x:v>BREAKFAST OATS</x:v>
      </x:c>
      <x:c r="D84" s="2" t="str">
        <x:v>Breakfast</x:v>
      </x:c>
      <x:c r="E84" s="12" t="str">
        <x:v>Almond Milk, Oats, Honey, Protein Powder</x:v>
      </x:c>
      <x:c r="F84" s="8" t="n">
        <x:v>41</x:v>
      </x:c>
      <x:c r="G84" s="8" t="n">
        <x:v>29</x:v>
      </x:c>
      <x:c r="H84" s="8" t="n">
        <x:v>15</x:v>
      </x:c>
      <x:c r="I84" s="12" t="str"/>
      <x:c r="J84" s="12" t="str">
        <x:v>No Supy name match</x:v>
      </x:c>
      <x:c r="K84" s="12" t="str"/>
    </x:row>
    <x:row r="85" ht="66" customHeight="1">
      <x:c r="A85" s="2" t="n">
        <x:v>76</x:v>
      </x:c>
      <x:c r="B85" s="10" t="str">
        <x:v>000616</x:v>
      </x:c>
      <x:c r="C85" s="12" t="str">
        <x:v>BREAKFAST SPINACH MUFFINS</x:v>
      </x:c>
      <x:c r="D85" s="2" t="str">
        <x:v>Breakfast</x:v>
      </x:c>
      <x:c r="E85" s="12" t="str">
        <x:v>All Fruits, Gluten Free Flour, Vanilla, Protein Powder, Spinach</x:v>
      </x:c>
      <x:c r="F85" s="8" t="n">
        <x:v>35</x:v>
      </x:c>
      <x:c r="G85" s="8" t="n">
        <x:v>30</x:v>
      </x:c>
      <x:c r="H85" s="8" t="n">
        <x:v>10</x:v>
      </x:c>
      <x:c r="I85" s="12" t="str"/>
      <x:c r="J85" s="12" t="str">
        <x:v>No Supy name match</x:v>
      </x:c>
      <x:c r="K85" s="12" t="str"/>
    </x:row>
    <x:row r="86" ht="66" customHeight="1">
      <x:c r="A86" s="2" t="n">
        <x:v>77</x:v>
      </x:c>
      <x:c r="B86" s="10" t="str">
        <x:v>000618</x:v>
      </x:c>
      <x:c r="C86" s="12" t="str">
        <x:v>BREAKFAST EGGS ON CAPSICUM</x:v>
      </x:c>
      <x:c r="D86" s="2" t="str">
        <x:v>Breakfast</x:v>
      </x:c>
      <x:c r="E86" s="12" t="str">
        <x:v>Egg, Capsicum, Potato, Spinach</x:v>
      </x:c>
      <x:c r="F86" s="8" t="n">
        <x:v>35</x:v>
      </x:c>
      <x:c r="G86" s="8" t="n">
        <x:v>21</x:v>
      </x:c>
      <x:c r="H86" s="8" t="n">
        <x:v>15</x:v>
      </x:c>
      <x:c r="I86" s="12" t="str"/>
      <x:c r="J86" s="12" t="str">
        <x:v>No Supy name match</x:v>
      </x:c>
      <x:c r="K86" s="12" t="str"/>
    </x:row>
    <x:row r="87" ht="66" customHeight="1">
      <x:c r="A87" s="2" t="n">
        <x:v>78</x:v>
      </x:c>
      <x:c r="B87" s="10" t="str">
        <x:v>000619</x:v>
      </x:c>
      <x:c r="C87" s="12" t="str">
        <x:v>BREAKFAST CHOCOLATE WAFFLE</x:v>
      </x:c>
      <x:c r="D87" s="2" t="str">
        <x:v>Breakfast</x:v>
      </x:c>
      <x:c r="E87" s="12" t="str">
        <x:v>Almond Milk, Cocoa, Egg, Gluten free pasta, Oats, Protein Powder</x:v>
      </x:c>
      <x:c r="F87" s="8" t="n">
        <x:v>55</x:v>
      </x:c>
      <x:c r="G87" s="8" t="n">
        <x:v>30</x:v>
      </x:c>
      <x:c r="H87" s="8" t="n">
        <x:v>10</x:v>
      </x:c>
      <x:c r="I87" s="12" t="str"/>
      <x:c r="J87" s="12" t="str">
        <x:v>No Supy name match</x:v>
      </x:c>
      <x:c r="K87" s="12" t="str"/>
    </x:row>
    <x:row r="88" ht="66" customHeight="1">
      <x:c r="A88" s="2" t="n">
        <x:v>79</x:v>
      </x:c>
      <x:c r="B88" s="10" t="str">
        <x:v>000631</x:v>
      </x:c>
      <x:c r="C88" s="12" t="str">
        <x:v>PEANUT BUTTER PANCAKE</x:v>
      </x:c>
      <x:c r="D88" s="2" t="str">
        <x:v>Breakfast</x:v>
      </x:c>
      <x:c r="E88" s="12" t="str">
        <x:v>All Nuts, Egg, Gluten Free Flour, Peanut Butter, Peanut, Protein Powder</x:v>
      </x:c>
      <x:c r="F88" s="8" t="n">
        <x:v>32</x:v>
      </x:c>
      <x:c r="G88" s="8" t="n">
        <x:v>23</x:v>
      </x:c>
      <x:c r="H88" s="8" t="n">
        <x:v>18</x:v>
      </x:c>
      <x:c r="I88" s="12" t="str">
        <x:v>Peanut Butter Pancake</x:v>
      </x:c>
      <x:c r="J88" s="12" t="str">
        <x:v>Matched to Supy breakfast</x:v>
      </x:c>
      <x:c r="K88" s="12" t="str">
        <x:v>Peanut Butter Pancake (uncategorized); Peanut Butter Pancake (Matter Immigration)</x:v>
      </x:c>
    </x:row>
    <x:row r="89" ht="66" customHeight="1">
      <x:c r="A89" s="2" t="n">
        <x:v>80</x:v>
      </x:c>
      <x:c r="B89" s="10" t="str">
        <x:v>000641</x:v>
      </x:c>
      <x:c r="C89" s="12" t="str">
        <x:v>BREAKFAST SAUSAGE</x:v>
      </x:c>
      <x:c r="D89" s="2" t="str">
        <x:v>Breakfast</x:v>
      </x:c>
      <x:c r="E89" s="12" t="str">
        <x:v>Sausage, Pokschoy, Leeks, Spinach, Salt, Kale, Raw Tomato</x:v>
      </x:c>
      <x:c r="F89" s="8" t="n">
        <x:v>32</x:v>
      </x:c>
      <x:c r="G89" s="8" t="n">
        <x:v>22</x:v>
      </x:c>
      <x:c r="H89" s="8" t="n">
        <x:v>18</x:v>
      </x:c>
      <x:c r="I89" s="12" t="str"/>
      <x:c r="J89" s="12" t="str">
        <x:v>No Supy name match</x:v>
      </x:c>
      <x:c r="K89" s="12" t="str"/>
    </x:row>
    <x:row r="90" ht="66" customHeight="1">
      <x:c r="A90" s="2" t="n">
        <x:v>81</x:v>
      </x:c>
      <x:c r="B90" s="10" t="str">
        <x:v>000645</x:v>
      </x:c>
      <x:c r="C90" s="12" t="str">
        <x:v>BREAKFAST HOTDOG</x:v>
      </x:c>
      <x:c r="D90" s="2" t="str">
        <x:v>Breakfast</x:v>
      </x:c>
      <x:c r="E90" s="12" t="str">
        <x:v>Zaatar, Sweet Potato, Apple, Sausage, Cabbage, Carrot, All Fruits, Honey</x:v>
      </x:c>
      <x:c r="F90" s="8" t="n">
        <x:v>30</x:v>
      </x:c>
      <x:c r="G90" s="8" t="n">
        <x:v>29</x:v>
      </x:c>
      <x:c r="H90" s="8" t="n">
        <x:v>20</x:v>
      </x:c>
      <x:c r="I90" s="12" t="str"/>
      <x:c r="J90" s="12" t="str">
        <x:v>No Supy name match</x:v>
      </x:c>
      <x:c r="K90" s="12" t="str"/>
    </x:row>
    <x:row r="91" ht="66" customHeight="1">
      <x:c r="A91" s="2" t="n">
        <x:v>82</x:v>
      </x:c>
      <x:c r="B91" s="10" t="str">
        <x:v>000669</x:v>
      </x:c>
      <x:c r="C91" s="12" t="str">
        <x:v>EGG CUBE PIZZA</x:v>
      </x:c>
      <x:c r="D91" s="2" t="str">
        <x:v>Breakfast</x:v>
      </x:c>
      <x:c r="E91" s="12" t="str">
        <x:v>Raw Tomato, Dairy, Potato, Capsicum, Raw Onion, Mushroom</x:v>
      </x:c>
      <x:c r="F91" s="8" t="n">
        <x:v>32</x:v>
      </x:c>
      <x:c r="G91" s="8" t="n">
        <x:v>26</x:v>
      </x:c>
      <x:c r="H91" s="8" t="n">
        <x:v>18</x:v>
      </x:c>
      <x:c r="I91" s="12" t="str"/>
      <x:c r="J91" s="12" t="str">
        <x:v>No Supy name match</x:v>
      </x:c>
      <x:c r="K91" s="12" t="str"/>
    </x:row>
    <x:row r="92" ht="66" customHeight="1">
      <x:c r="A92" s="2" t="n">
        <x:v>83</x:v>
      </x:c>
      <x:c r="B92" s="10" t="str">
        <x:v>000670</x:v>
      </x:c>
      <x:c r="C92" s="12" t="str">
        <x:v>RASPBERRY LEMON PANCAKE</x:v>
      </x:c>
      <x:c r="D92" s="2" t="str">
        <x:v>Breakfast</x:v>
      </x:c>
      <x:c r="E92" s="12" t="str">
        <x:v>Gluten, All Fruits, Lemon, Protein Powder , Raspberry, Egg</x:v>
      </x:c>
      <x:c r="F92" s="8" t="n">
        <x:v>33</x:v>
      </x:c>
      <x:c r="G92" s="8" t="n">
        <x:v>24</x:v>
      </x:c>
      <x:c r="H92" s="8" t="n">
        <x:v>18</x:v>
      </x:c>
      <x:c r="I92" s="12" t="str"/>
      <x:c r="J92" s="12" t="str">
        <x:v>No Supy name match</x:v>
      </x:c>
      <x:c r="K92" s="12" t="str"/>
    </x:row>
    <x:row r="93" ht="66" customHeight="1">
      <x:c r="A93" s="2" t="n">
        <x:v>84</x:v>
      </x:c>
      <x:c r="B93" s="10" t="str">
        <x:v>000680</x:v>
      </x:c>
      <x:c r="C93" s="12" t="str">
        <x:v>BREAKFAST EGG WRAP</x:v>
      </x:c>
      <x:c r="D93" s="2" t="str">
        <x:v>Breakfast</x:v>
      </x:c>
      <x:c r="E93" s="12" t="str">
        <x:v>Gluten, Bread, Mayonnaise, Egg, Carrot, Cabbage</x:v>
      </x:c>
      <x:c r="F93" s="8" t="n">
        <x:v>38</x:v>
      </x:c>
      <x:c r="G93" s="8" t="n">
        <x:v>26</x:v>
      </x:c>
      <x:c r="H93" s="8" t="n">
        <x:v>18</x:v>
      </x:c>
      <x:c r="I93" s="12" t="str">
        <x:v>Breakfast Egg Wrap</x:v>
      </x:c>
      <x:c r="J93" s="12" t="str">
        <x:v>Matched to Supy breakfast</x:v>
      </x:c>
      <x:c r="K93" s="12" t="str">
        <x:v>Breakfast Egg Wrap (uncategorized)</x:v>
      </x:c>
    </x:row>
    <x:row r="94" ht="66" customHeight="1">
      <x:c r="A94" s="2" t="n">
        <x:v>85</x:v>
      </x:c>
      <x:c r="B94" s="10" t="str">
        <x:v>000684</x:v>
      </x:c>
      <x:c r="C94" s="12" t="str">
        <x:v>CAJUN CHICKEN WRAP</x:v>
      </x:c>
      <x:c r="D94" s="2" t="str">
        <x:v>Breakfast</x:v>
      </x:c>
      <x:c r="E94" s="12" t="str"/>
      <x:c r="F94" s="8" t="n">
        <x:v>45</x:v>
      </x:c>
      <x:c r="G94" s="8" t="n">
        <x:v>28</x:v>
      </x:c>
      <x:c r="H94" s="8" t="n">
        <x:v>14</x:v>
      </x:c>
      <x:c r="I94" s="12" t="str"/>
      <x:c r="J94" s="12" t="str">
        <x:v>Other Supy categories only</x:v>
      </x:c>
      <x:c r="K94" s="12" t="str">
        <x:v>Cajun Chicken Wrap (Matter Immigration)</x:v>
      </x:c>
    </x:row>
    <x:row r="95" ht="66" customHeight="1">
      <x:c r="A95" s="2" t="n">
        <x:v>86</x:v>
      </x:c>
      <x:c r="B95" s="10" t="str">
        <x:v>000685</x:v>
      </x:c>
      <x:c r="C95" s="12" t="str">
        <x:v>EGGS AND MACARONI BREAKFAST</x:v>
      </x:c>
      <x:c r="D95" s="2" t="str">
        <x:v>Breakfast</x:v>
      </x:c>
      <x:c r="E95" s="12" t="str">
        <x:v>Gluten, Dairy, Pasta, Pineapple, Raisins, Carrot, Mustard, Cranberry, Cheese, Mayonnaise</x:v>
      </x:c>
      <x:c r="F95" s="8" t="n">
        <x:v>36</x:v>
      </x:c>
      <x:c r="G95" s="8" t="n">
        <x:v>24</x:v>
      </x:c>
      <x:c r="H95" s="8" t="n">
        <x:v>18</x:v>
      </x:c>
      <x:c r="I95" s="12" t="str"/>
      <x:c r="J95" s="12" t="str">
        <x:v>No Supy name match</x:v>
      </x:c>
      <x:c r="K95" s="12" t="str"/>
    </x:row>
    <x:row r="96" ht="66" customHeight="1">
      <x:c r="A96" s="2" t="n">
        <x:v>87</x:v>
      </x:c>
      <x:c r="B96" s="10" t="str">
        <x:v>000696</x:v>
      </x:c>
      <x:c r="C96" s="12" t="str">
        <x:v>COLD QUINOA SALAD W/ EGGS</x:v>
      </x:c>
      <x:c r="D96" s="2" t="str">
        <x:v>Breakfast</x:v>
      </x:c>
      <x:c r="E96" s="12" t="str">
        <x:v>Quinoa, Egg, Carrot, Cucumber, Pomegranate, Parsley, Raisins, Green Peas</x:v>
      </x:c>
      <x:c r="F96" s="8" t="n">
        <x:v>35</x:v>
      </x:c>
      <x:c r="G96" s="8" t="n">
        <x:v>25</x:v>
      </x:c>
      <x:c r="H96" s="8" t="n">
        <x:v>20</x:v>
      </x:c>
      <x:c r="I96" s="12" t="str"/>
      <x:c r="J96" s="12" t="str">
        <x:v>No Supy name match</x:v>
      </x:c>
      <x:c r="K96" s="12" t="str"/>
    </x:row>
    <x:row r="97" ht="66" customHeight="1">
      <x:c r="A97" s="2" t="n">
        <x:v>88</x:v>
      </x:c>
      <x:c r="B97" s="10" t="str">
        <x:v>000726</x:v>
      </x:c>
      <x:c r="C97" s="12" t="str">
        <x:v>PERSIAN EGG</x:v>
      </x:c>
      <x:c r="D97" s="2" t="str">
        <x:v>Breakfast</x:v>
      </x:c>
      <x:c r="E97" s="12" t="str">
        <x:v>Dates, Dairy, All Nuts, Sesame, Sesame Oil, Walnut, Sweet Potato, Cucumber, Olives, Raw Tomato</x:v>
      </x:c>
      <x:c r="F97" s="8" t="n">
        <x:v>35</x:v>
      </x:c>
      <x:c r="G97" s="8" t="n">
        <x:v>26</x:v>
      </x:c>
      <x:c r="H97" s="8" t="n">
        <x:v>18</x:v>
      </x:c>
      <x:c r="I97" s="12" t="str">
        <x:v>Persian Egg</x:v>
      </x:c>
      <x:c r="J97" s="12" t="str">
        <x:v>Matched to Supy breakfast</x:v>
      </x:c>
      <x:c r="K97" s="12" t="str">
        <x:v>Persian Egg (uncategorized)</x:v>
      </x:c>
    </x:row>
    <x:row r="98" ht="66" customHeight="1">
      <x:c r="A98" s="2" t="n">
        <x:v>89</x:v>
      </x:c>
      <x:c r="B98" s="10" t="str">
        <x:v>000738</x:v>
      </x:c>
      <x:c r="C98" s="12" t="str">
        <x:v>PHILLY BEEF WRAP</x:v>
      </x:c>
      <x:c r="D98" s="2" t="str">
        <x:v>Breakfast</x:v>
      </x:c>
      <x:c r="E98" s="12" t="str"/>
      <x:c r="F98" s="8" t="n">
        <x:v>48</x:v>
      </x:c>
      <x:c r="G98" s="8" t="n">
        <x:v>30</x:v>
      </x:c>
      <x:c r="H98" s="8" t="n">
        <x:v>19</x:v>
      </x:c>
      <x:c r="I98" s="12" t="str"/>
      <x:c r="J98" s="12" t="str">
        <x:v>Other Supy categories only</x:v>
      </x:c>
      <x:c r="K98" s="12" t="str">
        <x:v>Philly Beef Wrap (Matter Immigration)</x:v>
      </x:c>
    </x:row>
    <x:row r="99" ht="66" customHeight="1">
      <x:c r="A99" s="2" t="n">
        <x:v>90</x:v>
      </x:c>
      <x:c r="B99" s="10" t="str">
        <x:v>000742</x:v>
      </x:c>
      <x:c r="C99" s="12" t="str">
        <x:v>GREEK-STYLE VEGETABLE OMELETTE</x:v>
      </x:c>
      <x:c r="D99" s="2" t="str">
        <x:v>Breakfast</x:v>
      </x:c>
      <x:c r="E99" s="12" t="str">
        <x:v>Egg, Potato, Capsicum, Olives, Sweet Potato</x:v>
      </x:c>
      <x:c r="F99" s="8" t="n">
        <x:v>35</x:v>
      </x:c>
      <x:c r="G99" s="8" t="n">
        <x:v>22</x:v>
      </x:c>
      <x:c r="H99" s="8" t="n">
        <x:v>16</x:v>
      </x:c>
      <x:c r="I99" s="12" t="str"/>
      <x:c r="J99" s="12" t="str">
        <x:v>No Supy name match</x:v>
      </x:c>
      <x:c r="K99" s="12" t="str"/>
    </x:row>
    <x:row r="100" ht="66" customHeight="1">
      <x:c r="A100" s="2" t="n">
        <x:v>91</x:v>
      </x:c>
      <x:c r="B100" s="10" t="str">
        <x:v>000752</x:v>
      </x:c>
      <x:c r="C100" s="12" t="str">
        <x:v>RASPBERRY MUFFINS (L)</x:v>
      </x:c>
      <x:c r="D100" s="2" t="str">
        <x:v>Breakfast</x:v>
      </x:c>
      <x:c r="E100" s="12" t="str"/>
      <x:c r="F100" s="8" t="n">
        <x:v>42</x:v>
      </x:c>
      <x:c r="G100" s="8" t="n">
        <x:v>30</x:v>
      </x:c>
      <x:c r="H100" s="8" t="n">
        <x:v>24</x:v>
      </x:c>
      <x:c r="I100" s="12" t="str"/>
      <x:c r="J100" s="12" t="str">
        <x:v>No Supy name match</x:v>
      </x:c>
      <x:c r="K100" s="12" t="str"/>
    </x:row>
    <x:row r="101" ht="66" customHeight="1">
      <x:c r="A101" s="2" t="n">
        <x:v>92</x:v>
      </x:c>
      <x:c r="B101" s="10" t="str">
        <x:v>000761</x:v>
      </x:c>
      <x:c r="C101" s="12" t="str">
        <x:v>BANANA OATS PANCAKE (L)</x:v>
      </x:c>
      <x:c r="D101" s="2" t="str">
        <x:v>Breakfast</x:v>
      </x:c>
      <x:c r="E101" s="12" t="str"/>
      <x:c r="F101" s="8" t="n">
        <x:v>67</x:v>
      </x:c>
      <x:c r="G101" s="8" t="n">
        <x:v>52</x:v>
      </x:c>
      <x:c r="H101" s="8" t="n">
        <x:v>20</x:v>
      </x:c>
      <x:c r="I101" s="12" t="str"/>
      <x:c r="J101" s="12" t="str">
        <x:v>No Supy name match</x:v>
      </x:c>
      <x:c r="K101" s="12" t="str"/>
    </x:row>
    <x:row r="102" ht="66" customHeight="1">
      <x:c r="A102" s="2" t="n">
        <x:v>93</x:v>
      </x:c>
      <x:c r="B102" s="10" t="str">
        <x:v>000762</x:v>
      </x:c>
      <x:c r="C102" s="12" t="str">
        <x:v>BLUEBERRY MUFFINS (L)</x:v>
      </x:c>
      <x:c r="D102" s="2" t="str">
        <x:v>Breakfast</x:v>
      </x:c>
      <x:c r="E102" s="12" t="str"/>
      <x:c r="F102" s="8" t="n">
        <x:v>63</x:v>
      </x:c>
      <x:c r="G102" s="8" t="n">
        <x:v>52.5</x:v>
      </x:c>
      <x:c r="H102" s="8" t="n">
        <x:v>20</x:v>
      </x:c>
      <x:c r="I102" s="12" t="str"/>
      <x:c r="J102" s="12" t="str">
        <x:v>No Supy name match</x:v>
      </x:c>
      <x:c r="K102" s="12" t="str"/>
    </x:row>
    <x:row r="103" ht="66" customHeight="1">
      <x:c r="A103" s="2" t="n">
        <x:v>94</x:v>
      </x:c>
      <x:c r="B103" s="10" t="str">
        <x:v>000763</x:v>
      </x:c>
      <x:c r="C103" s="12" t="str">
        <x:v>BUTTERNUT SQUASH (L)</x:v>
      </x:c>
      <x:c r="D103" s="2" t="str">
        <x:v>Breakfast</x:v>
      </x:c>
      <x:c r="E103" s="12" t="str"/>
      <x:c r="F103" s="8" t="n">
        <x:v>67.5</x:v>
      </x:c>
      <x:c r="G103" s="8" t="n">
        <x:v>52.5</x:v>
      </x:c>
      <x:c r="H103" s="8" t="n">
        <x:v>27</x:v>
      </x:c>
      <x:c r="I103" s="12" t="str"/>
      <x:c r="J103" s="12" t="str">
        <x:v>No Supy name match</x:v>
      </x:c>
      <x:c r="K103" s="12" t="str"/>
    </x:row>
    <x:row r="104" ht="66" customHeight="1">
      <x:c r="A104" s="2" t="n">
        <x:v>95</x:v>
      </x:c>
      <x:c r="B104" s="10" t="str">
        <x:v>000764</x:v>
      </x:c>
      <x:c r="C104" s="12" t="str">
        <x:v>BREAKFAST EGG (L)</x:v>
      </x:c>
      <x:c r="D104" s="2" t="str">
        <x:v>Breakfast</x:v>
      </x:c>
      <x:c r="E104" s="12" t="str"/>
      <x:c r="F104" s="8" t="n">
        <x:v>60</x:v>
      </x:c>
      <x:c r="G104" s="8" t="n">
        <x:v>48</x:v>
      </x:c>
      <x:c r="H104" s="8" t="n">
        <x:v>24</x:v>
      </x:c>
      <x:c r="I104" s="12" t="str"/>
      <x:c r="J104" s="12" t="str">
        <x:v>No Supy name match</x:v>
      </x:c>
      <x:c r="K104" s="12" t="str"/>
    </x:row>
    <x:row r="105" ht="66" customHeight="1">
      <x:c r="A105" s="2" t="n">
        <x:v>96</x:v>
      </x:c>
      <x:c r="B105" s="10" t="str">
        <x:v>000765</x:v>
      </x:c>
      <x:c r="C105" s="12" t="str">
        <x:v>LIME WAFFLE (L)</x:v>
      </x:c>
      <x:c r="D105" s="2" t="str">
        <x:v>Breakfast</x:v>
      </x:c>
      <x:c r="E105" s="12" t="str"/>
      <x:c r="F105" s="8" t="n">
        <x:v>50</x:v>
      </x:c>
      <x:c r="G105" s="8" t="n">
        <x:v>30</x:v>
      </x:c>
      <x:c r="H105" s="8" t="n">
        <x:v>18</x:v>
      </x:c>
      <x:c r="I105" s="12" t="str"/>
      <x:c r="J105" s="12" t="str">
        <x:v>No Supy name match</x:v>
      </x:c>
      <x:c r="K105" s="12" t="str"/>
    </x:row>
    <x:row r="106" ht="66" customHeight="1">
      <x:c r="A106" s="2" t="n">
        <x:v>97</x:v>
      </x:c>
      <x:c r="B106" s="10" t="str">
        <x:v>000812</x:v>
      </x:c>
      <x:c r="C106" s="12" t="str">
        <x:v>SCRAMBLED EGGS (L)</x:v>
      </x:c>
      <x:c r="D106" s="2" t="str">
        <x:v>Breakfast</x:v>
      </x:c>
      <x:c r="E106" s="12" t="str"/>
      <x:c r="F106" s="8" t="n">
        <x:v>45</x:v>
      </x:c>
      <x:c r="G106" s="8" t="n">
        <x:v>42</x:v>
      </x:c>
      <x:c r="H106" s="8" t="n">
        <x:v>21</x:v>
      </x:c>
      <x:c r="I106" s="12" t="str"/>
      <x:c r="J106" s="12" t="str">
        <x:v>No Supy name match</x:v>
      </x:c>
      <x:c r="K106" s="12" t="str"/>
    </x:row>
    <x:row r="107" ht="66" customHeight="1">
      <x:c r="A107" s="2" t="n">
        <x:v>98</x:v>
      </x:c>
      <x:c r="B107" s="10" t="str">
        <x:v>000813</x:v>
      </x:c>
      <x:c r="C107" s="12" t="str">
        <x:v>MEDITERRANEAN SCRAMBLE (L)</x:v>
      </x:c>
      <x:c r="D107" s="2" t="str">
        <x:v>Breakfast</x:v>
      </x:c>
      <x:c r="E107" s="12" t="str">
        <x:v>Egg</x:v>
      </x:c>
      <x:c r="F107" s="8" t="n">
        <x:v>45</x:v>
      </x:c>
      <x:c r="G107" s="8" t="n">
        <x:v>42</x:v>
      </x:c>
      <x:c r="H107" s="8" t="n">
        <x:v>21</x:v>
      </x:c>
      <x:c r="I107" s="12" t="str"/>
      <x:c r="J107" s="12" t="str">
        <x:v>No Supy name match</x:v>
      </x:c>
      <x:c r="K107" s="12" t="str"/>
    </x:row>
    <x:row r="108" ht="66" customHeight="1">
      <x:c r="A108" s="2" t="n">
        <x:v>99</x:v>
      </x:c>
      <x:c r="B108" s="10" t="str">
        <x:v>000814</x:v>
      </x:c>
      <x:c r="C108" s="12" t="str">
        <x:v>KOREAN EGG CASSEROLE (L)</x:v>
      </x:c>
      <x:c r="D108" s="2" t="str">
        <x:v>Breakfast</x:v>
      </x:c>
      <x:c r="E108" s="12" t="str">
        <x:v>Egg</x:v>
      </x:c>
      <x:c r="F108" s="8" t="n">
        <x:v>45</x:v>
      </x:c>
      <x:c r="G108" s="8" t="n">
        <x:v>42</x:v>
      </x:c>
      <x:c r="H108" s="8" t="n">
        <x:v>18</x:v>
      </x:c>
      <x:c r="I108" s="12" t="str"/>
      <x:c r="J108" s="12" t="str">
        <x:v>No Supy name match</x:v>
      </x:c>
      <x:c r="K108" s="12" t="str"/>
    </x:row>
    <x:row r="109" ht="66" customHeight="1">
      <x:c r="A109" s="2" t="n">
        <x:v>100</x:v>
      </x:c>
      <x:c r="B109" s="10" t="str">
        <x:v>000817</x:v>
      </x:c>
      <x:c r="C109" s="12" t="str">
        <x:v>OATS CHOCOLATE CHIPS PANCAKE</x:v>
      </x:c>
      <x:c r="D109" s="2" t="str">
        <x:v>Breakfast</x:v>
      </x:c>
      <x:c r="E109" s="12" t="str"/>
      <x:c r="F109" s="8" t="n">
        <x:v>45</x:v>
      </x:c>
      <x:c r="G109" s="8" t="n">
        <x:v>24</x:v>
      </x:c>
      <x:c r="H109" s="8" t="n">
        <x:v>16</x:v>
      </x:c>
      <x:c r="I109" s="12" t="str">
        <x:v>Oats Chocolate Chips Pancake</x:v>
      </x:c>
      <x:c r="J109" s="12" t="str">
        <x:v>Matched to Supy breakfast</x:v>
      </x:c>
      <x:c r="K109" s="12" t="str">
        <x:v>Oats Chocolate Chips Pancake (uncategorized)</x:v>
      </x:c>
    </x:row>
    <x:row r="110" ht="66" customHeight="1">
      <x:c r="A110" s="2" t="n">
        <x:v>101</x:v>
      </x:c>
      <x:c r="B110" s="10" t="str">
        <x:v>000818</x:v>
      </x:c>
      <x:c r="C110" s="12" t="str">
        <x:v>BLUEBERRY SHORT CAKE OATS</x:v>
      </x:c>
      <x:c r="D110" s="2" t="str">
        <x:v>Breakfast</x:v>
      </x:c>
      <x:c r="E110" s="12" t="str"/>
      <x:c r="F110" s="8" t="n">
        <x:v>42</x:v>
      </x:c>
      <x:c r="G110" s="8" t="n">
        <x:v>22</x:v>
      </x:c>
      <x:c r="H110" s="8" t="n">
        <x:v>18</x:v>
      </x:c>
      <x:c r="I110" s="12" t="str">
        <x:v>Blueberry Shortcake Oats</x:v>
      </x:c>
      <x:c r="J110" s="12" t="str">
        <x:v>Matched to Supy breakfast</x:v>
      </x:c>
      <x:c r="K110" s="12" t="str">
        <x:v>Blueberry Shortcake Oats (uncategorized)</x:v>
      </x:c>
    </x:row>
    <x:row r="111" ht="66" customHeight="1">
      <x:c r="A111" s="2" t="n">
        <x:v>102</x:v>
      </x:c>
      <x:c r="B111" s="10" t="str">
        <x:v>000819</x:v>
      </x:c>
      <x:c r="C111" s="12" t="str">
        <x:v>MIX BERRY PANCAKE</x:v>
      </x:c>
      <x:c r="D111" s="2" t="str">
        <x:v>Breakfast</x:v>
      </x:c>
      <x:c r="E111" s="12" t="str"/>
      <x:c r="F111" s="8" t="n">
        <x:v>40</x:v>
      </x:c>
      <x:c r="G111" s="8" t="n">
        <x:v>24</x:v>
      </x:c>
      <x:c r="H111" s="8" t="n">
        <x:v>16</x:v>
      </x:c>
      <x:c r="I111" s="12" t="str">
        <x:v>Mix Berry Pancake</x:v>
      </x:c>
      <x:c r="J111" s="12" t="str">
        <x:v>Matched to Supy breakfast</x:v>
      </x:c>
      <x:c r="K111" s="12" t="str">
        <x:v>Mix Berry Pancake (uncategorized)</x:v>
      </x:c>
    </x:row>
    <x:row r="112" ht="66" customHeight="1">
      <x:c r="A112" s="2" t="n">
        <x:v>103</x:v>
      </x:c>
      <x:c r="B112" s="10" t="str">
        <x:v>000820</x:v>
      </x:c>
      <x:c r="C112" s="12" t="str">
        <x:v>RAFAELLO OATS</x:v>
      </x:c>
      <x:c r="D112" s="2" t="str">
        <x:v>Breakfast</x:v>
      </x:c>
      <x:c r="E112" s="12" t="str"/>
      <x:c r="F112" s="8" t="n">
        <x:v>46</x:v>
      </x:c>
      <x:c r="G112" s="8" t="n">
        <x:v>25</x:v>
      </x:c>
      <x:c r="H112" s="8" t="n">
        <x:v>15</x:v>
      </x:c>
      <x:c r="I112" s="12" t="str">
        <x:v>Rafaello Oats</x:v>
      </x:c>
      <x:c r="J112" s="12" t="str">
        <x:v>Matched to Supy breakfast</x:v>
      </x:c>
      <x:c r="K112" s="12" t="str">
        <x:v>Rafaello Oats (uncategorized)</x:v>
      </x:c>
    </x:row>
    <x:row r="113" ht="66" customHeight="1">
      <x:c r="A113" s="2" t="n">
        <x:v>104</x:v>
      </x:c>
      <x:c r="B113" s="10" t="str">
        <x:v>000821</x:v>
      </x:c>
      <x:c r="C113" s="12" t="str">
        <x:v>MEDITERRANEAN SCRAMBLE</x:v>
      </x:c>
      <x:c r="D113" s="2" t="str">
        <x:v>Breakfast</x:v>
      </x:c>
      <x:c r="E113" s="12" t="str"/>
      <x:c r="F113" s="8" t="n">
        <x:v>39</x:v>
      </x:c>
      <x:c r="G113" s="8" t="n">
        <x:v>26</x:v>
      </x:c>
      <x:c r="H113" s="8" t="n">
        <x:v>16</x:v>
      </x:c>
      <x:c r="I113" s="12" t="str"/>
      <x:c r="J113" s="12" t="str">
        <x:v>No Supy name match</x:v>
      </x:c>
      <x:c r="K113" s="12" t="str"/>
    </x:row>
    <x:row r="114" ht="66" customHeight="1">
      <x:c r="A114" s="2" t="n">
        <x:v>105</x:v>
      </x:c>
      <x:c r="B114" s="10" t="str">
        <x:v>000822</x:v>
      </x:c>
      <x:c r="C114" s="12" t="str">
        <x:v>LEMON WHITE CHOCO MUFFINS</x:v>
      </x:c>
      <x:c r="D114" s="2" t="str">
        <x:v>Breakfast</x:v>
      </x:c>
      <x:c r="E114" s="12" t="str"/>
      <x:c r="F114" s="8" t="n">
        <x:v>33</x:v>
      </x:c>
      <x:c r="G114" s="8" t="n">
        <x:v>22</x:v>
      </x:c>
      <x:c r="H114" s="8" t="n">
        <x:v>15</x:v>
      </x:c>
      <x:c r="I114" s="12" t="str"/>
      <x:c r="J114" s="12" t="str">
        <x:v>No Supy name match</x:v>
      </x:c>
      <x:c r="K114" s="12" t="str"/>
    </x:row>
    <x:row r="115" ht="66" customHeight="1">
      <x:c r="A115" s="2" t="n">
        <x:v>106</x:v>
      </x:c>
      <x:c r="B115" s="10" t="str">
        <x:v>000823</x:v>
      </x:c>
      <x:c r="C115" s="12" t="str">
        <x:v>KOREAN EGG CASSEROLE</x:v>
      </x:c>
      <x:c r="D115" s="2" t="str">
        <x:v>Breakfast</x:v>
      </x:c>
      <x:c r="E115" s="12" t="str"/>
      <x:c r="F115" s="8" t="n">
        <x:v>42</x:v>
      </x:c>
      <x:c r="G115" s="8" t="n">
        <x:v>25</x:v>
      </x:c>
      <x:c r="H115" s="8" t="n">
        <x:v>15</x:v>
      </x:c>
      <x:c r="I115" s="12" t="str">
        <x:v>Korean Egg Casserole</x:v>
      </x:c>
      <x:c r="J115" s="12" t="str">
        <x:v>Matched to Supy breakfast</x:v>
      </x:c>
      <x:c r="K115" s="12" t="str">
        <x:v>Korean Egg Casserole (uncategorized)</x:v>
      </x:c>
    </x:row>
    <x:row r="116" ht="66" customHeight="1">
      <x:c r="A116" s="2" t="n">
        <x:v>107</x:v>
      </x:c>
      <x:c r="B116" s="10" t="str">
        <x:v>000824</x:v>
      </x:c>
      <x:c r="C116" s="12" t="str">
        <x:v>TEX-MEX SHAKSHUKA</x:v>
      </x:c>
      <x:c r="D116" s="2" t="str">
        <x:v>Breakfast</x:v>
      </x:c>
      <x:c r="E116" s="12" t="str"/>
      <x:c r="F116" s="8" t="n">
        <x:v>45</x:v>
      </x:c>
      <x:c r="G116" s="8" t="n">
        <x:v>24</x:v>
      </x:c>
      <x:c r="H116" s="8" t="n">
        <x:v>16</x:v>
      </x:c>
      <x:c r="I116" s="12" t="str"/>
      <x:c r="J116" s="12" t="str">
        <x:v>No Supy name match</x:v>
      </x:c>
      <x:c r="K116" s="12" t="str"/>
    </x:row>
    <x:row r="117" ht="66" customHeight="1">
      <x:c r="A117" s="2" t="n">
        <x:v>108</x:v>
      </x:c>
      <x:c r="B117" s="10" t="str">
        <x:v>000825</x:v>
      </x:c>
      <x:c r="C117" s="12" t="str">
        <x:v>SPINACH PANCAKE</x:v>
      </x:c>
      <x:c r="D117" s="2" t="str">
        <x:v>Breakfast</x:v>
      </x:c>
      <x:c r="E117" s="12" t="str"/>
      <x:c r="F117" s="8" t="n">
        <x:v>32</x:v>
      </x:c>
      <x:c r="G117" s="8" t="n">
        <x:v>24</x:v>
      </x:c>
      <x:c r="H117" s="8" t="n">
        <x:v>16</x:v>
      </x:c>
      <x:c r="I117" s="12" t="str">
        <x:v>Spinach Pancake</x:v>
      </x:c>
      <x:c r="J117" s="12" t="str">
        <x:v>Matched to Supy breakfast</x:v>
      </x:c>
      <x:c r="K117" s="12" t="str">
        <x:v>Spinach Pancake (uncategorized)</x:v>
      </x:c>
    </x:row>
    <x:row r="118" ht="66" customHeight="1">
      <x:c r="A118" s="2" t="n">
        <x:v>109</x:v>
      </x:c>
      <x:c r="B118" s="10" t="str">
        <x:v>000826</x:v>
      </x:c>
      <x:c r="C118" s="12" t="str">
        <x:v>RASPBERRY FILLED MUFFINS</x:v>
      </x:c>
      <x:c r="D118" s="2" t="str">
        <x:v>Breakfast</x:v>
      </x:c>
      <x:c r="E118" s="12" t="str"/>
      <x:c r="F118" s="8" t="n">
        <x:v>33</x:v>
      </x:c>
      <x:c r="G118" s="8" t="n">
        <x:v>23</x:v>
      </x:c>
      <x:c r="H118" s="8" t="n">
        <x:v>14</x:v>
      </x:c>
      <x:c r="I118" s="12" t="str">
        <x:v>Raspberry Filled Muffins</x:v>
      </x:c>
      <x:c r="J118" s="12" t="str">
        <x:v>Matched to Supy breakfast</x:v>
      </x:c>
      <x:c r="K118" s="12" t="str">
        <x:v>Raspberry Filled Muffins (uncategorized)</x:v>
      </x:c>
    </x:row>
    <x:row r="119" ht="66" customHeight="1">
      <x:c r="A119" s="2" t="n">
        <x:v>110</x:v>
      </x:c>
      <x:c r="B119" s="10" t="str">
        <x:v>000827</x:v>
      </x:c>
      <x:c r="C119" s="12" t="str">
        <x:v>HONEY CORN BREAD MUFFINS</x:v>
      </x:c>
      <x:c r="D119" s="2" t="str">
        <x:v>Breakfast</x:v>
      </x:c>
      <x:c r="E119" s="12" t="str"/>
      <x:c r="F119" s="8" t="n">
        <x:v>35</x:v>
      </x:c>
      <x:c r="G119" s="8" t="n">
        <x:v>22</x:v>
      </x:c>
      <x:c r="H119" s="8" t="n">
        <x:v>18</x:v>
      </x:c>
      <x:c r="I119" s="12" t="str">
        <x:v>Honey Corn Bread Muffins</x:v>
      </x:c>
      <x:c r="J119" s="12" t="str">
        <x:v>Matched to Supy breakfast</x:v>
      </x:c>
      <x:c r="K119" s="12" t="str">
        <x:v>Honey Corn Bread Muffins (uncategorized)</x:v>
      </x:c>
    </x:row>
    <x:row r="120" ht="66" customHeight="1">
      <x:c r="A120" s="2" t="n">
        <x:v>111</x:v>
      </x:c>
      <x:c r="B120" s="10" t="str">
        <x:v>000828</x:v>
      </x:c>
      <x:c r="C120" s="12" t="str">
        <x:v>BEEF, EGG AND CHEESE PILLOW</x:v>
      </x:c>
      <x:c r="D120" s="2" t="str">
        <x:v>Breakfast</x:v>
      </x:c>
      <x:c r="E120" s="12" t="str"/>
      <x:c r="F120" s="8" t="n">
        <x:v>45</x:v>
      </x:c>
      <x:c r="G120" s="8" t="n">
        <x:v>24</x:v>
      </x:c>
      <x:c r="H120" s="8" t="n">
        <x:v>16</x:v>
      </x:c>
      <x:c r="I120" s="12" t="str">
        <x:v>Beef, Egg and Cheese Pillow</x:v>
      </x:c>
      <x:c r="J120" s="12" t="str">
        <x:v>Matched to Supy breakfast</x:v>
      </x:c>
      <x:c r="K120" s="12" t="str">
        <x:v>Beef, Egg and Cheese Pillow (uncategorized)</x:v>
      </x:c>
    </x:row>
    <x:row r="121" ht="66" customHeight="1">
      <x:c r="A121" s="2" t="n">
        <x:v>112</x:v>
      </x:c>
      <x:c r="B121" s="10" t="str">
        <x:v>000829</x:v>
      </x:c>
      <x:c r="C121" s="12" t="str">
        <x:v>CHOCO CASHEW OVERNIGHT OATS</x:v>
      </x:c>
      <x:c r="D121" s="2" t="str">
        <x:v>Breakfast</x:v>
      </x:c>
      <x:c r="E121" s="12" t="str"/>
      <x:c r="F121" s="8" t="n">
        <x:v>46</x:v>
      </x:c>
      <x:c r="G121" s="8" t="n">
        <x:v>25</x:v>
      </x:c>
      <x:c r="H121" s="8" t="n">
        <x:v>18</x:v>
      </x:c>
      <x:c r="I121" s="12" t="str"/>
      <x:c r="J121" s="12" t="str">
        <x:v>No Supy name match</x:v>
      </x:c>
      <x:c r="K121" s="12" t="str"/>
    </x:row>
    <x:row r="122" ht="66" customHeight="1">
      <x:c r="A122" s="2" t="n">
        <x:v>113</x:v>
      </x:c>
      <x:c r="B122" s="10" t="str">
        <x:v>000830</x:v>
      </x:c>
      <x:c r="C122" s="12" t="str">
        <x:v>SPINACH,ONION &amp; MUSHROOM EGG CAKE</x:v>
      </x:c>
      <x:c r="D122" s="2" t="str">
        <x:v>Breakfast</x:v>
      </x:c>
      <x:c r="E122" s="12" t="str"/>
      <x:c r="F122" s="8" t="n">
        <x:v>40</x:v>
      </x:c>
      <x:c r="G122" s="8" t="n">
        <x:v>25</x:v>
      </x:c>
      <x:c r="H122" s="8" t="n">
        <x:v>16</x:v>
      </x:c>
      <x:c r="I122" s="12" t="str">
        <x:v>Spinach, Onion &amp; Mushroom Egg Cake</x:v>
      </x:c>
      <x:c r="J122" s="12" t="str">
        <x:v>Matched to Supy breakfast</x:v>
      </x:c>
      <x:c r="K122" s="12" t="str">
        <x:v>Spinach, Onion &amp; Mushroom Egg Cake (uncategorized)</x:v>
      </x:c>
    </x:row>
    <x:row r="123" ht="66" customHeight="1">
      <x:c r="A123" s="2" t="n">
        <x:v>114</x:v>
      </x:c>
      <x:c r="B123" s="10" t="str">
        <x:v>000831</x:v>
      </x:c>
      <x:c r="C123" s="12" t="str">
        <x:v>APRICOT PANCAKE</x:v>
      </x:c>
      <x:c r="D123" s="2" t="str">
        <x:v>Breakfast</x:v>
      </x:c>
      <x:c r="E123" s="12" t="str"/>
      <x:c r="F123" s="8" t="n">
        <x:v>32</x:v>
      </x:c>
      <x:c r="G123" s="8" t="n">
        <x:v>22</x:v>
      </x:c>
      <x:c r="H123" s="8" t="n">
        <x:v>15</x:v>
      </x:c>
      <x:c r="I123" s="12" t="str"/>
      <x:c r="J123" s="12" t="str">
        <x:v>No Supy name match</x:v>
      </x:c>
      <x:c r="K123" s="12" t="str"/>
    </x:row>
    <x:row r="124" ht="66" customHeight="1">
      <x:c r="A124" s="2" t="n">
        <x:v>115</x:v>
      </x:c>
      <x:c r="B124" s="10" t="str">
        <x:v>000832</x:v>
      </x:c>
      <x:c r="C124" s="12" t="str">
        <x:v>SAVOURY FRENCH TOAST</x:v>
      </x:c>
      <x:c r="D124" s="2" t="str">
        <x:v>Breakfast</x:v>
      </x:c>
      <x:c r="E124" s="12" t="str"/>
      <x:c r="F124" s="8" t="n">
        <x:v>42</x:v>
      </x:c>
      <x:c r="G124" s="8" t="n">
        <x:v>22</x:v>
      </x:c>
      <x:c r="H124" s="8" t="n">
        <x:v>18</x:v>
      </x:c>
      <x:c r="I124" s="12" t="str">
        <x:v>Savoury French Toast</x:v>
      </x:c>
      <x:c r="J124" s="12" t="str">
        <x:v>Matched to Supy breakfast</x:v>
      </x:c>
      <x:c r="K124" s="12" t="str">
        <x:v>Savoury French Toast (uncategorized)</x:v>
      </x:c>
    </x:row>
    <x:row r="125" ht="66" customHeight="1">
      <x:c r="A125" s="2" t="n">
        <x:v>116</x:v>
      </x:c>
      <x:c r="B125" s="10" t="str">
        <x:v>000833</x:v>
      </x:c>
      <x:c r="C125" s="12" t="str">
        <x:v>PUMPKIN OATS</x:v>
      </x:c>
      <x:c r="D125" s="2" t="str">
        <x:v>Breakfast</x:v>
      </x:c>
      <x:c r="E125" s="12" t="str"/>
      <x:c r="F125" s="8" t="n">
        <x:v>45</x:v>
      </x:c>
      <x:c r="G125" s="8" t="n">
        <x:v>25</x:v>
      </x:c>
      <x:c r="H125" s="8" t="n">
        <x:v>15</x:v>
      </x:c>
      <x:c r="I125" s="12" t="str">
        <x:v>Pumpkin Oats</x:v>
      </x:c>
      <x:c r="J125" s="12" t="str">
        <x:v>Matched to Supy breakfast</x:v>
      </x:c>
      <x:c r="K125" s="12" t="str">
        <x:v>Pumpkin Oats (uncategorized)</x:v>
      </x:c>
    </x:row>
    <x:row r="126" ht="66" customHeight="1">
      <x:c r="A126" s="2" t="n">
        <x:v>117</x:v>
      </x:c>
      <x:c r="B126" s="10" t="str">
        <x:v>000834</x:v>
      </x:c>
      <x:c r="C126" s="12" t="str">
        <x:v>SPINACH AND SUNDRIED TOMATO EGG CAKE</x:v>
      </x:c>
      <x:c r="D126" s="2" t="str">
        <x:v>Breakfast</x:v>
      </x:c>
      <x:c r="E126" s="12" t="str"/>
      <x:c r="F126" s="8" t="n">
        <x:v>38</x:v>
      </x:c>
      <x:c r="G126" s="8" t="n">
        <x:v>34</x:v>
      </x:c>
      <x:c r="H126" s="8" t="n">
        <x:v>18</x:v>
      </x:c>
      <x:c r="I126" s="12" t="str">
        <x:v>Spinach &amp; Sundried Tomato Egg Cake</x:v>
      </x:c>
      <x:c r="J126" s="12" t="str">
        <x:v>Matched to Supy breakfast</x:v>
      </x:c>
      <x:c r="K126" s="12" t="str">
        <x:v>Spinach &amp; Sundried Tomato Egg Cake (uncategorized)</x:v>
      </x:c>
    </x:row>
    <x:row r="127" ht="66" customHeight="1">
      <x:c r="A127" s="2" t="n">
        <x:v>118</x:v>
      </x:c>
      <x:c r="B127" s="10" t="str">
        <x:v>000835</x:v>
      </x:c>
      <x:c r="C127" s="12" t="str">
        <x:v>CHOCO BANANA OATS</x:v>
      </x:c>
      <x:c r="D127" s="2" t="str">
        <x:v>Breakfast</x:v>
      </x:c>
      <x:c r="E127" s="12" t="str"/>
      <x:c r="F127" s="8" t="n">
        <x:v>42</x:v>
      </x:c>
      <x:c r="G127" s="8" t="n">
        <x:v>24</x:v>
      </x:c>
      <x:c r="H127" s="8" t="n">
        <x:v>16</x:v>
      </x:c>
      <x:c r="I127" s="12" t="str">
        <x:v>Choco Banana Oats</x:v>
      </x:c>
      <x:c r="J127" s="12" t="str">
        <x:v>Matched to Supy breakfast</x:v>
      </x:c>
      <x:c r="K127" s="12" t="str">
        <x:v>Choco Banana Oats (uncategorized)</x:v>
      </x:c>
    </x:row>
    <x:row r="128" ht="66" customHeight="1">
      <x:c r="A128" s="2" t="n">
        <x:v>119</x:v>
      </x:c>
      <x:c r="B128" s="10" t="str">
        <x:v>000836</x:v>
      </x:c>
      <x:c r="C128" s="12" t="str">
        <x:v>SWEET POTATO AND PEPPER OMELETTE</x:v>
      </x:c>
      <x:c r="D128" s="2" t="str">
        <x:v>Breakfast</x:v>
      </x:c>
      <x:c r="E128" s="12" t="str"/>
      <x:c r="F128" s="8" t="n">
        <x:v>45</x:v>
      </x:c>
      <x:c r="G128" s="8" t="n">
        <x:v>24</x:v>
      </x:c>
      <x:c r="H128" s="8" t="n">
        <x:v>14</x:v>
      </x:c>
      <x:c r="I128" s="12" t="str"/>
      <x:c r="J128" s="12" t="str">
        <x:v>No Supy name match</x:v>
      </x:c>
      <x:c r="K128" s="12" t="str"/>
    </x:row>
    <x:row r="129" ht="66" customHeight="1">
      <x:c r="A129" s="2" t="n">
        <x:v>120</x:v>
      </x:c>
      <x:c r="B129" s="10" t="str">
        <x:v>000837</x:v>
      </x:c>
      <x:c r="C129" s="12" t="str">
        <x:v>CHOCOLATE CASHEW PANCAKE</x:v>
      </x:c>
      <x:c r="D129" s="2" t="str">
        <x:v>Breakfast</x:v>
      </x:c>
      <x:c r="E129" s="12" t="str"/>
      <x:c r="F129" s="8" t="n">
        <x:v>35</x:v>
      </x:c>
      <x:c r="G129" s="8" t="n">
        <x:v>24</x:v>
      </x:c>
      <x:c r="H129" s="8" t="n">
        <x:v>16</x:v>
      </x:c>
      <x:c r="I129" s="12" t="str"/>
      <x:c r="J129" s="12" t="str">
        <x:v>Other Supy categories only</x:v>
      </x:c>
      <x:c r="K129" s="12" t="str">
        <x:v>Chocolate Cashew Pancake (Matter Immigration)</x:v>
      </x:c>
    </x:row>
    <x:row r="130" ht="66" customHeight="1">
      <x:c r="A130" s="2" t="n">
        <x:v>121</x:v>
      </x:c>
      <x:c r="B130" s="10" t="str">
        <x:v>000854</x:v>
      </x:c>
      <x:c r="C130" s="12" t="str">
        <x:v>APRICOT MUFFINS</x:v>
      </x:c>
      <x:c r="D130" s="2" t="str">
        <x:v>Breakfast</x:v>
      </x:c>
      <x:c r="E130" s="12" t="str">
        <x:v>Soy</x:v>
      </x:c>
      <x:c r="F130" s="8" t="n">
        <x:v>35</x:v>
      </x:c>
      <x:c r="G130" s="8" t="n">
        <x:v>24</x:v>
      </x:c>
      <x:c r="H130" s="8" t="n">
        <x:v>15</x:v>
      </x:c>
      <x:c r="I130" s="12" t="str"/>
      <x:c r="J130" s="12" t="str">
        <x:v>Other Supy categories only</x:v>
      </x:c>
      <x:c r="K130" s="12" t="str">
        <x:v>Apricot Muffin (uncategorized); Apricot Muffin (Snacks)</x:v>
      </x:c>
    </x:row>
    <x:row r="131" ht="66" customHeight="1">
      <x:c r="A131" s="2" t="n">
        <x:v>122</x:v>
      </x:c>
      <x:c r="B131" s="10" t="str">
        <x:v>000855</x:v>
      </x:c>
      <x:c r="C131" s="12" t="str">
        <x:v>CHOCOLATE PISTACHIO OATMEAL</x:v>
      </x:c>
      <x:c r="D131" s="2" t="str">
        <x:v>Breakfast</x:v>
      </x:c>
      <x:c r="E131" s="12" t="str"/>
      <x:c r="F131" s="8" t="n">
        <x:v>45</x:v>
      </x:c>
      <x:c r="G131" s="8" t="n">
        <x:v>25</x:v>
      </x:c>
      <x:c r="H131" s="8" t="n">
        <x:v>17</x:v>
      </x:c>
      <x:c r="I131" s="12" t="str">
        <x:v>Chocolate Pistachio Oatmeal</x:v>
      </x:c>
      <x:c r="J131" s="12" t="str">
        <x:v>Matched to Supy breakfast</x:v>
      </x:c>
      <x:c r="K131" s="12" t="str">
        <x:v>Chocolate Pistachio Oatmeal (uncategorized)</x:v>
      </x:c>
    </x:row>
    <x:row r="132" ht="66" customHeight="1">
      <x:c r="A132" s="2" t="n">
        <x:v>123</x:v>
      </x:c>
      <x:c r="B132" s="10" t="str">
        <x:v>000856</x:v>
      </x:c>
      <x:c r="C132" s="12" t="str">
        <x:v>POACHED EGG WITH CREAMY APPLE SLAW</x:v>
      </x:c>
      <x:c r="D132" s="2" t="str">
        <x:v>Breakfast</x:v>
      </x:c>
      <x:c r="E132" s="12" t="str"/>
      <x:c r="F132" s="8" t="n">
        <x:v>36</x:v>
      </x:c>
      <x:c r="G132" s="8" t="n">
        <x:v>22</x:v>
      </x:c>
      <x:c r="H132" s="8" t="n">
        <x:v>18</x:v>
      </x:c>
      <x:c r="I132" s="12" t="str"/>
      <x:c r="J132" s="12" t="str">
        <x:v>No Supy name match</x:v>
      </x:c>
      <x:c r="K132" s="12" t="str"/>
    </x:row>
    <x:row r="133" ht="66" customHeight="1">
      <x:c r="A133" s="2" t="n">
        <x:v>124</x:v>
      </x:c>
      <x:c r="B133" s="10" t="str">
        <x:v>000858</x:v>
      </x:c>
      <x:c r="C133" s="12" t="str">
        <x:v>CARROT CAKE MUFFIN</x:v>
      </x:c>
      <x:c r="D133" s="2" t="str">
        <x:v>Breakfast</x:v>
      </x:c>
      <x:c r="E133" s="12" t="str"/>
      <x:c r="F133" s="8" t="n">
        <x:v>35</x:v>
      </x:c>
      <x:c r="G133" s="8" t="n">
        <x:v>25</x:v>
      </x:c>
      <x:c r="H133" s="8" t="n">
        <x:v>17</x:v>
      </x:c>
      <x:c r="I133" s="12" t="str"/>
      <x:c r="J133" s="12" t="str">
        <x:v>Other Supy categories only</x:v>
      </x:c>
      <x:c r="K133" s="12" t="str">
        <x:v>Carrot Cake Muffins (Snacks); Carrot Cake Muffins (uncategorized)</x:v>
      </x:c>
    </x:row>
    <x:row r="134" ht="66" customHeight="1">
      <x:c r="A134" s="2" t="n">
        <x:v>125</x:v>
      </x:c>
      <x:c r="B134" s="10" t="str">
        <x:v>000859</x:v>
      </x:c>
      <x:c r="C134" s="12" t="str">
        <x:v>CHEDDAR ZUCCHINI MUFFINS</x:v>
      </x:c>
      <x:c r="D134" s="2" t="str">
        <x:v>Breakfast</x:v>
      </x:c>
      <x:c r="E134" s="12" t="str"/>
      <x:c r="F134" s="8" t="n">
        <x:v>38</x:v>
      </x:c>
      <x:c r="G134" s="8" t="n">
        <x:v>22</x:v>
      </x:c>
      <x:c r="H134" s="8" t="n">
        <x:v>16</x:v>
      </x:c>
      <x:c r="I134" s="12" t="str">
        <x:v>Cheddar Zucchini Muffins</x:v>
      </x:c>
      <x:c r="J134" s="12" t="str">
        <x:v>Matched to Supy breakfast</x:v>
      </x:c>
      <x:c r="K134" s="12" t="str">
        <x:v>Cheddar Zucchini Muffins (uncategorized)</x:v>
      </x:c>
    </x:row>
    <x:row r="135" ht="66" customHeight="1">
      <x:c r="A135" s="2" t="n">
        <x:v>126</x:v>
      </x:c>
      <x:c r="B135" s="10" t="str">
        <x:v>000860</x:v>
      </x:c>
      <x:c r="C135" s="12" t="str">
        <x:v>LEMON PIE OVERNIGHT OATS</x:v>
      </x:c>
      <x:c r="D135" s="2" t="str">
        <x:v>Breakfast</x:v>
      </x:c>
      <x:c r="E135" s="12" t="str"/>
      <x:c r="F135" s="8" t="n">
        <x:v>40</x:v>
      </x:c>
      <x:c r="G135" s="8" t="n">
        <x:v>25</x:v>
      </x:c>
      <x:c r="H135" s="8" t="n">
        <x:v>15</x:v>
      </x:c>
      <x:c r="I135" s="12" t="str">
        <x:v>Lemon Pie Overnight Oats</x:v>
      </x:c>
      <x:c r="J135" s="12" t="str">
        <x:v>Matched to Supy breakfast</x:v>
      </x:c>
      <x:c r="K135" s="12" t="str">
        <x:v>Lemon Pie Overnight Oats (uncategorized)</x:v>
      </x:c>
    </x:row>
    <x:row r="136" ht="66" customHeight="1">
      <x:c r="A136" s="2" t="n">
        <x:v>127</x:v>
      </x:c>
      <x:c r="B136" s="10" t="str">
        <x:v>000861</x:v>
      </x:c>
      <x:c r="C136" s="12" t="str">
        <x:v>BEETROOT PANCAKE</x:v>
      </x:c>
      <x:c r="D136" s="2" t="str">
        <x:v>Breakfast</x:v>
      </x:c>
      <x:c r="E136" s="12" t="str"/>
      <x:c r="F136" s="8" t="n">
        <x:v>40</x:v>
      </x:c>
      <x:c r="G136" s="8" t="n">
        <x:v>23</x:v>
      </x:c>
      <x:c r="H136" s="8" t="n">
        <x:v>15</x:v>
      </x:c>
      <x:c r="I136" s="12" t="str">
        <x:v>Beetroot Pancake</x:v>
      </x:c>
      <x:c r="J136" s="12" t="str">
        <x:v>Matched to Supy breakfast</x:v>
      </x:c>
      <x:c r="K136" s="12" t="str">
        <x:v>Beetroot Pancake (uncategorized)</x:v>
      </x:c>
    </x:row>
    <x:row r="137" ht="66" customHeight="1">
      <x:c r="A137" s="2" t="n">
        <x:v>128</x:v>
      </x:c>
      <x:c r="B137" s="10" t="str">
        <x:v>000862</x:v>
      </x:c>
      <x:c r="C137" s="12" t="str">
        <x:v>MOCHA ESPRESSO OATMEAL</x:v>
      </x:c>
      <x:c r="D137" s="2" t="str">
        <x:v>Breakfast</x:v>
      </x:c>
      <x:c r="E137" s="12" t="str"/>
      <x:c r="F137" s="8" t="n">
        <x:v>46</x:v>
      </x:c>
      <x:c r="G137" s="8" t="n">
        <x:v>22</x:v>
      </x:c>
      <x:c r="H137" s="8" t="n">
        <x:v>14</x:v>
      </x:c>
      <x:c r="I137" s="12" t="str"/>
      <x:c r="J137" s="12" t="str">
        <x:v>No Supy name match</x:v>
      </x:c>
      <x:c r="K137" s="12" t="str"/>
    </x:row>
    <x:row r="138" ht="66" customHeight="1">
      <x:c r="A138" s="2" t="n">
        <x:v>129</x:v>
      </x:c>
      <x:c r="B138" s="10" t="str">
        <x:v>000865</x:v>
      </x:c>
      <x:c r="C138" s="12" t="str">
        <x:v>POTATO &amp; ASPARAGUS OMELETTE</x:v>
      </x:c>
      <x:c r="D138" s="2" t="str">
        <x:v>Breakfast</x:v>
      </x:c>
      <x:c r="E138" s="12" t="str"/>
      <x:c r="F138" s="8" t="n">
        <x:v>35</x:v>
      </x:c>
      <x:c r="G138" s="8" t="n">
        <x:v>22</x:v>
      </x:c>
      <x:c r="H138" s="8" t="n">
        <x:v>16</x:v>
      </x:c>
      <x:c r="I138" s="12" t="str">
        <x:v>Potato &amp; Asparagus Omelette</x:v>
      </x:c>
      <x:c r="J138" s="12" t="str">
        <x:v>Matched to Supy breakfast</x:v>
      </x:c>
      <x:c r="K138" s="12" t="str">
        <x:v>Potato &amp; Asparagus Omelette (uncategorized)</x:v>
      </x:c>
    </x:row>
    <x:row r="139" ht="66" customHeight="1">
      <x:c r="A139" s="2" t="n">
        <x:v>130</x:v>
      </x:c>
      <x:c r="B139" s="10" t="str">
        <x:v>000867</x:v>
      </x:c>
      <x:c r="C139" s="12" t="str">
        <x:v>PEANUT BUTTER OATS</x:v>
      </x:c>
      <x:c r="D139" s="2" t="str">
        <x:v>Breakfast</x:v>
      </x:c>
      <x:c r="E139" s="12" t="str"/>
      <x:c r="F139" s="8" t="n">
        <x:v>42</x:v>
      </x:c>
      <x:c r="G139" s="8" t="n">
        <x:v>35</x:v>
      </x:c>
      <x:c r="H139" s="8" t="n">
        <x:v>18</x:v>
      </x:c>
      <x:c r="I139" s="12" t="str">
        <x:v>Peanut Butter Oats</x:v>
      </x:c>
      <x:c r="J139" s="12" t="str">
        <x:v>Matched to Supy breakfast</x:v>
      </x:c>
      <x:c r="K139" s="12" t="str">
        <x:v>Peanut Butter Oats (uncategorized)</x:v>
      </x:c>
    </x:row>
    <x:row r="140" ht="66" customHeight="1">
      <x:c r="A140" s="2" t="n">
        <x:v>131</x:v>
      </x:c>
      <x:c r="B140" s="10" t="str">
        <x:v>000868</x:v>
      </x:c>
      <x:c r="C140" s="12" t="str">
        <x:v>CHOCO STRAWBERRY OATS</x:v>
      </x:c>
      <x:c r="D140" s="2" t="str">
        <x:v>Breakfast</x:v>
      </x:c>
      <x:c r="E140" s="12" t="str"/>
      <x:c r="F140" s="8" t="n">
        <x:v>46</x:v>
      </x:c>
      <x:c r="G140" s="8" t="n">
        <x:v>25</x:v>
      </x:c>
      <x:c r="H140" s="8" t="n">
        <x:v>16</x:v>
      </x:c>
      <x:c r="I140" s="12" t="str">
        <x:v>Choco Strawberry Oats</x:v>
      </x:c>
      <x:c r="J140" s="12" t="str">
        <x:v>Matched to Supy breakfast</x:v>
      </x:c>
      <x:c r="K140" s="12" t="str">
        <x:v>Choco Strawberry Oats (uncategorized)</x:v>
      </x:c>
    </x:row>
    <x:row r="141" ht="66" customHeight="1">
      <x:c r="A141" s="2" t="n">
        <x:v>132</x:v>
      </x:c>
      <x:c r="B141" s="10" t="str">
        <x:v>000870</x:v>
      </x:c>
      <x:c r="C141" s="12" t="str">
        <x:v>MISO CARAMEL OATMEAL</x:v>
      </x:c>
      <x:c r="D141" s="2" t="str">
        <x:v>Breakfast</x:v>
      </x:c>
      <x:c r="E141" s="12" t="str"/>
      <x:c r="F141" s="8" t="n">
        <x:v>41</x:v>
      </x:c>
      <x:c r="G141" s="8" t="n">
        <x:v>29</x:v>
      </x:c>
      <x:c r="H141" s="8" t="n">
        <x:v>14</x:v>
      </x:c>
      <x:c r="I141" s="12" t="str">
        <x:v>Miso Caramel Oatmeal</x:v>
      </x:c>
      <x:c r="J141" s="12" t="str">
        <x:v>Matched to Supy breakfast</x:v>
      </x:c>
      <x:c r="K141" s="12" t="str"/>
    </x:row>
    <x:row r="142" ht="66" customHeight="1">
      <x:c r="A142" s="2" t="n">
        <x:v>133</x:v>
      </x:c>
      <x:c r="B142" s="10" t="str">
        <x:v>000871</x:v>
      </x:c>
      <x:c r="C142" s="12" t="str">
        <x:v>BREAKFAST BURGER</x:v>
      </x:c>
      <x:c r="D142" s="2" t="str">
        <x:v>Breakfast</x:v>
      </x:c>
      <x:c r="E142" s="12" t="str"/>
      <x:c r="F142" s="8" t="n">
        <x:v>45</x:v>
      </x:c>
      <x:c r="G142" s="8" t="n">
        <x:v>25</x:v>
      </x:c>
      <x:c r="H142" s="8" t="n">
        <x:v>15</x:v>
      </x:c>
      <x:c r="I142" s="12" t="str"/>
      <x:c r="J142" s="12" t="str">
        <x:v>Other Supy categories only</x:v>
      </x:c>
      <x:c r="K142" s="12" t="str">
        <x:v>Breakfast Burger (Matter Immigration)</x:v>
      </x:c>
    </x:row>
    <x:row r="143" ht="66" customHeight="1">
      <x:c r="A143" s="2" t="n">
        <x:v>134</x:v>
      </x:c>
      <x:c r="B143" s="10" t="str">
        <x:v>010</x:v>
      </x:c>
      <x:c r="C143" s="12" t="str">
        <x:v>CHOCO CASHEW OVERNIGHT OATS (L)</x:v>
      </x:c>
      <x:c r="D143" s="2" t="str">
        <x:v>Breakfast</x:v>
      </x:c>
      <x:c r="E143" s="12" t="str"/>
      <x:c r="F143" s="8" t="n">
        <x:v>63</x:v>
      </x:c>
      <x:c r="G143" s="8" t="n">
        <x:v>52</x:v>
      </x:c>
      <x:c r="H143" s="8" t="n">
        <x:v>18</x:v>
      </x:c>
      <x:c r="I143" s="12" t="str"/>
      <x:c r="J143" s="12" t="str">
        <x:v>No Supy name match</x:v>
      </x:c>
      <x:c r="K143" s="12" t="str"/>
    </x:row>
    <x:row r="144" ht="66" customHeight="1">
      <x:c r="A144" s="2" t="n">
        <x:v>135</x:v>
      </x:c>
      <x:c r="B144" s="10" t="str">
        <x:v>09</x:v>
      </x:c>
      <x:c r="C144" s="12" t="str">
        <x:v>BAKED EGG AND VEG (L)</x:v>
      </x:c>
      <x:c r="D144" s="2" t="str">
        <x:v>Breakfast</x:v>
      </x:c>
      <x:c r="E144" s="12" t="str"/>
      <x:c r="F144" s="8" t="n">
        <x:v>60</x:v>
      </x:c>
      <x:c r="G144" s="8" t="n">
        <x:v>48</x:v>
      </x:c>
      <x:c r="H144" s="8" t="n">
        <x:v>24</x:v>
      </x:c>
      <x:c r="I144" s="12" t="str"/>
      <x:c r="J144" s="12" t="str">
        <x:v>No Supy name match</x:v>
      </x:c>
      <x:c r="K144" s="12" t="str"/>
    </x:row>
    <x:row r="145" ht="66" customHeight="1">
      <x:c r="A145" s="2" t="n">
        <x:v>136</x:v>
      </x:c>
      <x:c r="B145" s="10" t="str">
        <x:v>4</x:v>
      </x:c>
      <x:c r="C145" s="12" t="str">
        <x:v>SALTED APPLE PANCAKE (L)</x:v>
      </x:c>
      <x:c r="D145" s="2" t="str">
        <x:v>Breakfast</x:v>
      </x:c>
      <x:c r="E145" s="12" t="str"/>
      <x:c r="F145" s="8" t="n">
        <x:v>60</x:v>
      </x:c>
      <x:c r="G145" s="8" t="n">
        <x:v>48</x:v>
      </x:c>
      <x:c r="H145" s="8" t="n">
        <x:v>24</x:v>
      </x:c>
      <x:c r="I145" s="12" t="str"/>
      <x:c r="J145" s="12" t="str">
        <x:v>No Supy name match</x:v>
      </x:c>
      <x:c r="K145" s="12" t="str"/>
    </x:row>
  </x:sheetData>
  <x:pageMargins left="0.7" right="0.7" top="0.75" bottom="0.75" header="0.3" footer="0.3"/>
  <x:tableParts count="1">
    <x:tablePart xmlns:r="http://schemas.openxmlformats.org/officeDocument/2006/relationships" r:id="Rf899b1d2aecd4cd0"/>
  </x:tableParts>
</x:worksheet>
</file>